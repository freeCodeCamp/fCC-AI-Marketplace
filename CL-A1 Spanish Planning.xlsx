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rammar" sheetId="1" r:id="rId5"/>
    <sheet state="hidden" name="Pronunciation" sheetId="2" r:id="rId6"/>
    <sheet state="hidden" name="Ortography" sheetId="3" r:id="rId7"/>
    <sheet state="visible" name="Chapter Status" sheetId="4" r:id="rId8"/>
    <sheet state="hidden" name="Basic Personal Details" sheetId="5" r:id="rId9"/>
    <sheet state="hidden" name="Spanish Fundamentals" sheetId="6" r:id="rId10"/>
    <sheet state="hidden" name="Greetings and Introductions" sheetId="7" r:id="rId11"/>
    <sheet state="visible" name="Describing a Company and Its Pe" sheetId="8" r:id="rId12"/>
    <sheet state="visible" name="Char text audio name" sheetId="9" r:id="rId13"/>
    <sheet state="visible" name="Chapter template" sheetId="10" r:id="rId14"/>
    <sheet state="visible" name="Character Height" sheetId="11" r:id="rId15"/>
    <sheet state="hidden" name="Helper-dropdown" sheetId="12" r:id="rId16"/>
    <sheet state="hidden" name="template" sheetId="13" r:id="rId17"/>
    <sheet state="hidden" name="Sheet5" sheetId="14" r:id="rId18"/>
  </sheets>
  <definedNames>
    <definedName hidden="1" localSheetId="3" name="_xlnm._FilterDatabase">'Chapter Status'!$A$1:$G$110</definedName>
    <definedName hidden="1" localSheetId="8" name="Z_436CEF3F_31B7_4946_85A9_18923BA45D49_.wvu.FilterData">'Char text audio name'!$A$2:$E$62</definedName>
  </definedNames>
  <calcPr/>
  <customWorkbookViews>
    <customWorkbookView activeSheetId="0" maximized="1" windowHeight="0" windowWidth="0" guid="{436CEF3F-31B7-4946-85A9-18923BA45D49}" name="Group by Used i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Important pending issue in the mobile Spanish keyboard instructions.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Alphabet - 1 or 2 tasks. 1 with the entire alphabet and another with the vowels.  same with numbers just a review. </t>
      </text>
    </comment>
  </commentList>
</comments>
</file>

<file path=xl/sharedStrings.xml><?xml version="1.0" encoding="utf-8"?>
<sst xmlns="http://schemas.openxmlformats.org/spreadsheetml/2006/main" count="5674" uniqueCount="3400">
  <si>
    <r>
      <rPr>
        <b/>
      </rPr>
      <t xml:space="preserve">Reference: </t>
    </r>
    <r>
      <rPr>
        <b/>
        <color rgb="FF1155CC"/>
        <u/>
      </rPr>
      <t>https://cvc.cervantes.es/ensenanza/biblioteca_ele/plan_curricular/niveles/02_gramatica_inventario_a1-a2.htm</t>
    </r>
  </si>
  <si>
    <r>
      <rPr>
        <b/>
      </rPr>
      <t xml:space="preserve">To check the glossary of the terms below: </t>
    </r>
    <r>
      <rPr>
        <b/>
        <color rgb="FF1155CC"/>
        <u/>
      </rPr>
      <t>https://cvc.cervantes.es/ensenanza/biblioteca_ele/plan_curricular/niveles/02_gramatica_glosario.htm</t>
    </r>
  </si>
  <si>
    <t>Section</t>
  </si>
  <si>
    <t>Subsection / Item</t>
  </si>
  <si>
    <t>Topic</t>
  </si>
  <si>
    <t>Example / Notes</t>
  </si>
  <si>
    <t>block 1</t>
  </si>
  <si>
    <t>Block 2</t>
  </si>
  <si>
    <t>block 3</t>
  </si>
  <si>
    <t>El sustantivo</t>
  </si>
  <si>
    <t>1.1.1. Nombres propios</t>
  </si>
  <si>
    <t>Antropónimos – nombres de pila sin artículo</t>
  </si>
  <si>
    <t>María, Antonio</t>
  </si>
  <si>
    <t>Antropónimos – hipocorísticos y diminutivos</t>
  </si>
  <si>
    <t>Pepe (José), Paco (Francisco), Chelo (Consuelo), Lola (Dolores)</t>
  </si>
  <si>
    <t>Antropónimos – hipocorísticos hispanoamericanos</t>
  </si>
  <si>
    <t>Chayo (Rosario), Chava (Isabel), Güicho (Luis), Pancho (Francisco)</t>
  </si>
  <si>
    <t>Apellidos sin artículo</t>
  </si>
  <si>
    <t>Fernández, González</t>
  </si>
  <si>
    <t>Formas de tratamiento</t>
  </si>
  <si>
    <t>el Sr. Fernández, (Don) Fernando</t>
  </si>
  <si>
    <t>Formas de tratamiento en Ecuador y Colombia</t>
  </si>
  <si>
    <t>Don/Doña + nombre o apellido sin connotación despectiva; uso exclusivo en ciertos estratos sociales</t>
  </si>
  <si>
    <t>Formas de tratamiento en República Dominicana</t>
  </si>
  <si>
    <t>Su merced</t>
  </si>
  <si>
    <t>Topónimos – países sin artículo</t>
  </si>
  <si>
    <t>España, Italia</t>
  </si>
  <si>
    <t>Topónimos – excepción</t>
  </si>
  <si>
    <t>El Salvador</t>
  </si>
  <si>
    <t>Topónimos – ciudades y localidades</t>
  </si>
  <si>
    <t>Madrid, París, Alcalá de Henares</t>
  </si>
  <si>
    <t>1.1.2. Nombres comunes</t>
  </si>
  <si>
    <t>Nombres de periodos temporales</t>
  </si>
  <si>
    <t>mediodía, tarde, noche</t>
  </si>
  <si>
    <t>1.2. El género de los sustantivos</t>
  </si>
  <si>
    <t>Masculino en –o y femenino en –a</t>
  </si>
  <si>
    <t>amigo/amiga, vecino/vecina, libro/casa</t>
  </si>
  <si>
    <t>Masculino/femenino con vocal ≠ o/a</t>
  </si>
  <si>
    <t>el peine, la muerte</t>
  </si>
  <si>
    <t>Masculino/femenino con consonante</t>
  </si>
  <si>
    <t>el árbol, la catedral, la solución, el corazón</t>
  </si>
  <si>
    <t>Femenino en –o (abreviación)</t>
  </si>
  <si>
    <t>la moto (motocicleta), la foto (fotografía), la radio (radiodifusión)</t>
  </si>
  <si>
    <t>Heteronimia</t>
  </si>
  <si>
    <t>el padre/la madre, el hombre/la mujer</t>
  </si>
  <si>
    <t>1.3. El número de los sustantivos</t>
  </si>
  <si>
    <t>Plural terminación en vocal: –s</t>
  </si>
  <si>
    <t>mesa/mesas, libro/libros</t>
  </si>
  <si>
    <t>Plural terminación en consonante: –es</t>
  </si>
  <si>
    <t>árbol/árboles, pared/paredes, tenedor/tenedores</t>
  </si>
  <si>
    <t>Plural terminación en –s monosílabo o aguda</t>
  </si>
  <si>
    <t>país/países</t>
  </si>
  <si>
    <t>Significado del plural – suma de individuos iguales</t>
  </si>
  <si>
    <t>el coche/los coches</t>
  </si>
  <si>
    <t>El adjetivo</t>
  </si>
  <si>
    <t>2.1.1. Adjetivos calificativos</t>
  </si>
  <si>
    <t>Función de complemento del nombre</t>
  </si>
  <si>
    <t>el chico guapo</t>
  </si>
  <si>
    <t>Función de atributo</t>
  </si>
  <si>
    <t>El chico es guapo</t>
  </si>
  <si>
    <t>Incompatibilidad con posesivos</t>
  </si>
  <si>
    <t>✘ mi guapo</t>
  </si>
  <si>
    <t>2.1.2. Adjetivos relacionales</t>
  </si>
  <si>
    <t>Gentilicios muy frecuentes</t>
  </si>
  <si>
    <t>español, francés, japonés</t>
  </si>
  <si>
    <t>2.2. El género del adjetivo</t>
  </si>
  <si>
    <t>Masculino en -o / femenino en -a</t>
  </si>
  <si>
    <t>alto / alta</t>
  </si>
  <si>
    <t>Masculino en consonante / femenino en -a (gentilicios)</t>
  </si>
  <si>
    <t>español / española, francés / francesa</t>
  </si>
  <si>
    <t>Invariables terminados en consonante</t>
  </si>
  <si>
    <t>difícil, fácil</t>
  </si>
  <si>
    <t>Gentilicios terminados en -í, -ú</t>
  </si>
  <si>
    <t>marroquí, hindú</t>
  </si>
  <si>
    <t>2.3. El número del adjetivo</t>
  </si>
  <si>
    <t>Plural terminación en vocal: -s</t>
  </si>
  <si>
    <t>alto / altos, española / españolas</t>
  </si>
  <si>
    <t>Plural terminación en consonante: -es</t>
  </si>
  <si>
    <t>fácil / fáciles</t>
  </si>
  <si>
    <t>2.4. Posición del adjetivo</t>
  </si>
  <si>
    <t>Posición postnominal (especificativos)</t>
  </si>
  <si>
    <t>un chico guapo</t>
  </si>
  <si>
    <t>2.5. Grados del adjetivo</t>
  </si>
  <si>
    <t>Positivo</t>
  </si>
  <si>
    <t>Superlativo absoluto con “muy”</t>
  </si>
  <si>
    <t>muy guapo</t>
  </si>
  <si>
    <t>El artículo</t>
  </si>
  <si>
    <t>3.1. El artículo definido</t>
  </si>
  <si>
    <t>Paradigma regular</t>
  </si>
  <si>
    <t>el, la, los, las</t>
  </si>
  <si>
    <t>Formas contractas</t>
  </si>
  <si>
    <t>al, del</t>
  </si>
  <si>
    <t>Restricciones por tipo de sustantivo</t>
  </si>
  <si>
    <t>—</t>
  </si>
  <si>
    <t>Ausencia con nombre propio de persona (regla general)</t>
  </si>
  <si>
    <t>Restricción por otros determinantes – primera posición del SN</t>
  </si>
  <si>
    <t>la otra chica / ✘ otra la chica</t>
  </si>
  <si>
    <t>Restricción por otros determinantes – imposibilidad con posesivos y demostrativos prenominales</t>
  </si>
  <si>
    <t>✘ el este libro / ✘ la mi hermana</t>
  </si>
  <si>
    <t>Restricciones por posición sintáctica – obligatorio con sujeto en construcciones con gustar</t>
  </si>
  <si>
    <t>Me gusta la paella.</t>
  </si>
  <si>
    <t>3.2. El artículo indefinido</t>
  </si>
  <si>
    <t>un, una, unos, unas</t>
  </si>
  <si>
    <t>Significado básico: indefinición, primera mención (referentes nuevos)</t>
  </si>
  <si>
    <t>Tengo un libro.</t>
  </si>
  <si>
    <t>Restricciones por tipo de sustantivo – incompatibilidad con nombres propios</t>
  </si>
  <si>
    <t>*un Javier, *una España, *unos Correos</t>
  </si>
  <si>
    <t>Restricciones por otros componentes del SN – incompatibilidad con demostrativos, numerales e indefinidos</t>
  </si>
  <si>
    <t>*este un amigo, *un otro amigo</t>
  </si>
  <si>
    <t>3.3. Ausencia de determinación: los nombres escuetos</t>
  </si>
  <si>
    <t>Incompatibilidad con el verbo gustar</t>
  </si>
  <si>
    <t>*Me gusta paella.</t>
  </si>
  <si>
    <t>Compatibilidad general con el verbo haber impersonal</t>
  </si>
  <si>
    <t>Hay árboles en la plaza. No hay leche en la nevera.</t>
  </si>
  <si>
    <t>Los demostrativos</t>
  </si>
  <si>
    <t>Forma</t>
  </si>
  <si>
    <t>Paradigma masculino y femenino singular/plural</t>
  </si>
  <si>
    <t>este, esta, estos, estas; ese, esa, esos, esas; aquel, aquella, aquellos, aquellas</t>
  </si>
  <si>
    <t>Forma del neutro singular</t>
  </si>
  <si>
    <t>esto, eso, aquello</t>
  </si>
  <si>
    <t>Posición inicial con verbos copulativos (ser, estar)</t>
  </si>
  <si>
    <t>Eso es un libro.</t>
  </si>
  <si>
    <t>Valores / significado</t>
  </si>
  <si>
    <t>Déictico espacial – cercanía respecto al hablante y al oyente</t>
  </si>
  <si>
    <t>este libro</t>
  </si>
  <si>
    <t>Déictico espacial – lejanía del hablante y del oyente</t>
  </si>
  <si>
    <t>ese libro, aquel árbol</t>
  </si>
  <si>
    <t>Referente desconocido (objeto no identificado)</t>
  </si>
  <si>
    <t>¿Qué es eso?</t>
  </si>
  <si>
    <t>Distribución sintáctica</t>
  </si>
  <si>
    <t>Posición del demostrativo: delante del sustantivo</t>
  </si>
  <si>
    <t>Incompatibilidad con el artículo</t>
  </si>
  <si>
    <t>*el este</t>
  </si>
  <si>
    <t>Los posesivos</t>
  </si>
  <si>
    <t>Formas átonas. Un poseedor. Variación de número</t>
  </si>
  <si>
    <t>mi, mis; tu, tus; su, sus → mi libro / mis libros</t>
  </si>
  <si>
    <t>Formas tónicas y átonas. Varios poseedores</t>
  </si>
  <si>
    <t>nuestro/a/os/as, vuestro/a/os/as, su/sus</t>
  </si>
  <si>
    <t>Variación de género y número con formas tónicas de varios poseedores</t>
  </si>
  <si>
    <t>nuestro libro / nuestros libros, nuestra llave / nuestras llaves</t>
  </si>
  <si>
    <t>Coincidencia formal de las formas átonas de 3.ª persona singular/plural</t>
  </si>
  <si>
    <t>su casa (de él / de ella / de ellos / de ellas)</t>
  </si>
  <si>
    <t>Posición inicial de la forma átona</t>
  </si>
  <si>
    <t>mi libro / *libro mi, mi camisa roja</t>
  </si>
  <si>
    <t>Incapacidad de aparecer solo en formas átonas</t>
  </si>
  <si>
    <t>¿De quién es este libro? *Mi. *Este libro es mi.</t>
  </si>
  <si>
    <t>Incompatibilidad con adjetivos y con artículo en formas átonas</t>
  </si>
  <si>
    <t>*mi interesante, *la mi amiga</t>
  </si>
  <si>
    <t>Incompatibilidad con el verbo haber</t>
  </si>
  <si>
    <t>*Hay mis amigos.</t>
  </si>
  <si>
    <t>Los cuantificadores</t>
  </si>
  <si>
    <t>6.1. Cuantificadores propios – Numerales</t>
  </si>
  <si>
    <t>Cardinales</t>
  </si>
  <si>
    <t>dos, catorce, trescientos, quince mil</t>
  </si>
  <si>
    <t>Variación de género y de número</t>
  </si>
  <si>
    <t>doscientas personas, doscientos euros</t>
  </si>
  <si>
    <t>Ordinales (hasta 10.º)</t>
  </si>
  <si>
    <t>primero / primera, segundo / segunda</t>
  </si>
  <si>
    <t>6.1. Cuantificadores propios – No universales</t>
  </si>
  <si>
    <t>Afirmativos: poco, mucho</t>
  </si>
  <si>
    <t>Variación de género y número</t>
  </si>
  <si>
    <t>Hace mucho calor. Tengo muchos amigos. Bastante.</t>
  </si>
  <si>
    <t>Variación de número</t>
  </si>
  <si>
    <t>Hay bastante dinero. Tenemos bastantes problemas.</t>
  </si>
  <si>
    <t>6.2. Cuantificadores focales o presuposicionales</t>
  </si>
  <si>
    <t>Incluyentes: también, tampoco</t>
  </si>
  <si>
    <t>Yo también soy alemán. Yo tampoco voy.</t>
  </si>
  <si>
    <t>El pronombre</t>
  </si>
  <si>
    <t>7.1.1. Pronombre sujeto – Forma</t>
  </si>
  <si>
    <t>Paradigma de las tres personas gramaticales</t>
  </si>
  <si>
    <t>yo, tú, él, nosotros, vosotros, ellos</t>
  </si>
  <si>
    <t>Variación de género (3.ª persona singular y plural)</t>
  </si>
  <si>
    <t>él/ella, ellos/ellas; nosotros/nosotras; vosotros/vosotras</t>
  </si>
  <si>
    <t>[Zonas voseantes Hispanoamérica] Forma vos (2.ª singular)</t>
  </si>
  <si>
    <t>Coexistencia del tuteo con alternancia de formas con vos</t>
  </si>
  <si>
    <t>[México, excepto Chiapas y El Caribe] Uso exclusivo del tuteo</t>
  </si>
  <si>
    <t>Forma usted/ustedes (Hispanoamérica, España: variedades meridionales y Canarias)</t>
  </si>
  <si>
    <t>Uso exclusivo de ustedes para 2.ª plural; ausencia de vosotros/as</t>
  </si>
  <si>
    <t>7.1.1. Pronombre sujeto – Presencia/ausencia</t>
  </si>
  <si>
    <t>Ausencia general: sujeto innecesario/inaceptable (relación temática con el predicado)</t>
  </si>
  <si>
    <t>Estudio español.</t>
  </si>
  <si>
    <t>[Hispanoamérica] Tendencia a usar pronombres sujetos</t>
  </si>
  <si>
    <t>Yo estudio español.</t>
  </si>
  <si>
    <t>Presencia con valor de contraste</t>
  </si>
  <si>
    <t>Yo soy Clara, ¿y tú?</t>
  </si>
  <si>
    <t>Ausencia en oraciones impersonales con haber</t>
  </si>
  <si>
    <t>Hay mucha gente.</t>
  </si>
  <si>
    <t>7.1.1. Pronombre sujeto – Valores/significado</t>
  </si>
  <si>
    <t>Referente humano, uso del demostrativo para cosas</t>
  </si>
  <si>
    <t>Hay una ventana. Esta (ventana) es grande.</t>
  </si>
  <si>
    <t>Referencia a participantes del discurso – yo y tú</t>
  </si>
  <si>
    <t>Nosotros inclusivo (incluye al oyente): yo + tú (+ terceros)</t>
  </si>
  <si>
    <t>Nosotros no inclusivo (excluye al oyente): yo + él/ella/ellos/ellas</t>
  </si>
  <si>
    <t>Vosotros: oyente(s) tú + tú (+ terceros)</t>
  </si>
  <si>
    <t>7.1.2. Pronombres átonos de OD</t>
  </si>
  <si>
    <t>Presencia/ausencia – ausencia con haber</t>
  </si>
  <si>
    <t>¿Hay parques en tu barrio? Sí, hay.</t>
  </si>
  <si>
    <t>Presencia/ausencia – ausencia en respuestas sin determinante/ni cuantificador (interpretación inespecífica)</t>
  </si>
  <si>
    <t>¿Tienes coche? No, no tengo.</t>
  </si>
  <si>
    <t>7.1.3. Pronombres átonos de OI</t>
  </si>
  <si>
    <t>Forma – 1.ª persona singular</t>
  </si>
  <si>
    <t>Me gusta el cine.</t>
  </si>
  <si>
    <t>Valores/significado – experimentante semántico, no sujeto gramatical (gustar)</t>
  </si>
  <si>
    <t>Me gustan los coches.</t>
  </si>
  <si>
    <t>7.1.4. Valores de se</t>
  </si>
  <si>
    <t>Forma – pronombre personal, única para singular y plural</t>
  </si>
  <si>
    <t>Valores/significado – pronombre reflexivo</t>
  </si>
  <si>
    <t>Levantarse, peinarse</t>
  </si>
  <si>
    <t>[Hispanoamérica] Tendencia a usar formas reflexivas</t>
  </si>
  <si>
    <t>desayunarse, tardarse, amanecerse, robarse</t>
  </si>
  <si>
    <t>7.2. Los relativos – Que</t>
  </si>
  <si>
    <t>En relativas especificativas con antecedente expreso</t>
  </si>
  <si>
    <t>El libro que lee es muy interesante.</t>
  </si>
  <si>
    <t>Invariable, carente de flexión. Átono, proclítico</t>
  </si>
  <si>
    <t>la profesora que tengo / las casas que veo</t>
  </si>
  <si>
    <t>Naturaleza del antecedente: sustantivo (+/– humano)</t>
  </si>
  <si>
    <t>El libro que lee / La profesora que tengo</t>
  </si>
  <si>
    <t>Función de sujeto y de OD, con antecedente obligatorio</t>
  </si>
  <si>
    <t>La profesora que tengo me gusta mucho. / Vivo en una casa que tiene tres habitaciones.</t>
  </si>
  <si>
    <t>7.3. Los interrogativos – Qué</t>
  </si>
  <si>
    <t>Tónico con acento gráfico. Posición inicial de la oración. Invariable</t>
  </si>
  <si>
    <t>¿Qué estudias? ¿Qué libro lees?</t>
  </si>
  <si>
    <t>Pregunta por objetos o acciones (– humano)</t>
  </si>
  <si>
    <t>¿Qué es eso?, ¿Qué haces?</t>
  </si>
  <si>
    <t>7.3. Los interrogativos – Quién / quiénes</t>
  </si>
  <si>
    <t>Forma singular/plural. Tónico con acento gráfico. Posición inicial</t>
  </si>
  <si>
    <t>¿Quién es esa chica?</t>
  </si>
  <si>
    <t>Pregunta por personas (+ humano)</t>
  </si>
  <si>
    <t>7.3. Los interrogativos – Cuánto / cuánta / cuántos / cuántas</t>
  </si>
  <si>
    <t>Tónico con acento gráfico. Variable en género y número según el sustantivo</t>
  </si>
  <si>
    <t>¿Cuántos años tienes?, ¿Cuántas hermanas tienes?</t>
  </si>
  <si>
    <t>7.3. Los interrogativos – Adverbios interrogativos</t>
  </si>
  <si>
    <t>(se listan en adverbios, sección 8.8)</t>
  </si>
  <si>
    <t>7.3. Los interrogativos – Locuciones interrogativas</t>
  </si>
  <si>
    <t>(se listan en sección 8.9)</t>
  </si>
  <si>
    <t>Adverbio y locuciones</t>
  </si>
  <si>
    <t>8.1. Adverbios en –mente</t>
  </si>
  <si>
    <t>(No hay contenido en A1)</t>
  </si>
  <si>
    <t>8.2. Adverbios nucleares – Circunstanciales de lugar</t>
  </si>
  <si>
    <t>Pronominales demostrativos: deícticos</t>
  </si>
  <si>
    <t>aquí, ahí, allí</t>
  </si>
  <si>
    <t>[Hispanoamérica] Preferencia por acá / allá</t>
  </si>
  <si>
    <t>Intensificación de lejos y cerca</t>
  </si>
  <si>
    <t>muy lejos, muy cerca</t>
  </si>
  <si>
    <t>8.2. Adverbios nucleares – Circunstanciales de tiempo</t>
  </si>
  <si>
    <t>Pronominales demostrativos deícticos</t>
  </si>
  <si>
    <t>ahora, hoy, mañana</t>
  </si>
  <si>
    <t>[Hispanoamérica] Uso con significados propios</t>
  </si>
  <si>
    <t>ahoy (ahora + hoy), ahora por hoy</t>
  </si>
  <si>
    <t>8.2. Adverbios nucleares – Circunstanciales de cantidad</t>
  </si>
  <si>
    <t>Afirmativos: poco, mucho, bastante</t>
  </si>
  <si>
    <t>Posición postverbal</t>
  </si>
  <si>
    <t>Duermo poco. Estudio mucho.</t>
  </si>
  <si>
    <t>Oposición mucho/muy</t>
  </si>
  <si>
    <t>Es muy bonito. *Es mucho bonito.</t>
  </si>
  <si>
    <t>[Hispanoamérica] Uso de demasiado por mucho, muy</t>
  </si>
  <si>
    <t>Resultativos, posición postverbal obligatoria</t>
  </si>
  <si>
    <t>bien, mal → Está bien/mal.</t>
  </si>
  <si>
    <t>8.2. Adverbios nucleares – Otros tipos</t>
  </si>
  <si>
    <t>Identificativos polares afirmativos/negativos</t>
  </si>
  <si>
    <t>sí, no</t>
  </si>
  <si>
    <t>Ejemplos de uso</t>
  </si>
  <si>
    <t>No tengo hermanos. No, no soy alemán.</t>
  </si>
  <si>
    <t>también, tampoco (Hispanoamérica: también no por tampoco)</t>
  </si>
  <si>
    <t>8.3 empty</t>
  </si>
  <si>
    <t>8.4. Adverbios del modus</t>
  </si>
  <si>
    <t>8.5. Adverbios conjuntivos</t>
  </si>
  <si>
    <t>entonces, también, tampoco (restricciones de polaridad)</t>
  </si>
  <si>
    <t>también → sí / tampoco → no</t>
  </si>
  <si>
    <t>8.8. Adverbios relativos e interrogativos</t>
  </si>
  <si>
    <t>Interrogativos dónde, cómo</t>
  </si>
  <si>
    <t>Posición inicial, seguido de verbo o aislado; invariable</t>
  </si>
  <si>
    <t>8.9. Locuciones adverbiales</t>
  </si>
  <si>
    <t>por qué</t>
  </si>
  <si>
    <t>En posición inicial. Contraste con porque</t>
  </si>
  <si>
    <t>Verbo</t>
  </si>
  <si>
    <t>9.1.1. Presente – Forma</t>
  </si>
  <si>
    <t>Paradigma de verbos regulares</t>
  </si>
  <si>
    <t>[Zonas voseantes de Hispanoamérica] Formas voseantes regulares. Dos tipos predominantes: am-ás, com-és, viv-ís / am-ás, com-ís, viv-ís</t>
  </si>
  <si>
    <t>Distribución geográfica detallada (Ecuador, Perú, Bolivia, Argentina, México, Centroamérica, Colombia, Venezuela, Uruguay, Paraguay, Chile, etc.)</t>
  </si>
  <si>
    <t>Irregularidades propias: ser, estar, haber, ir</t>
  </si>
  <si>
    <t>[Zonas voseantes de Hispanoamérica] irregularidades de ser y ir</t>
  </si>
  <si>
    <t>9.1.1. Presente – Valores / significado</t>
  </si>
  <si>
    <t>Valor de presente actual</t>
  </si>
  <si>
    <t>Estoy en clase de español.</t>
  </si>
  <si>
    <t>Valor de presente habitual</t>
  </si>
  <si>
    <t>Voy al cine los sábados.</t>
  </si>
  <si>
    <t>Valor de futuro próximo</t>
  </si>
  <si>
    <t>Mañana voy al cine.</t>
  </si>
  <si>
    <t>Valor de futuro programado con expresiones temporales</t>
  </si>
  <si>
    <t>El avión sale a las 10.</t>
  </si>
  <si>
    <t>Perífrasis verbal con ir a + infinitivo (futuro)</t>
  </si>
  <si>
    <t>Voy a estudiar.</t>
  </si>
  <si>
    <t>9.1.2. Pretérito perfecto – Forma</t>
  </si>
  <si>
    <t>Irregularidades de ser, estar, haber, ir</t>
  </si>
  <si>
    <t>9.1.2. Pretérito perfecto – Valores / significado</t>
  </si>
  <si>
    <t>Referencia a acciones pasadas con relación al presente</t>
  </si>
  <si>
    <t>He vivido en Madrid.</t>
  </si>
  <si>
    <t>9.3. El imperativo</t>
  </si>
  <si>
    <t>---</t>
  </si>
  <si>
    <t>9.4.1. Infinitivo – Forma</t>
  </si>
  <si>
    <t>Infinitivo simple en las tres conjugaciones</t>
  </si>
  <si>
    <t>9.4.1. Infinitivo – Valores / significado</t>
  </si>
  <si>
    <t>Uso independiente: fragmentario, como respuesta a una pregunta sin preposición</t>
  </si>
  <si>
    <t>¿Qué haces? — Estudiar.</t>
  </si>
  <si>
    <t>En subordinadas sustantivas, como sujeto o complemento directo</t>
  </si>
  <si>
    <t>Estudiar español es divertido. / Me gusta estudiar español. / Quiero ir a España.</t>
  </si>
  <si>
    <t>9.4.2. [ ]</t>
  </si>
  <si>
    <t>(Parece un hueco, posiblemente “Gerundio”, pero no está desarrollado en la captura)</t>
  </si>
  <si>
    <t>9.4.3. Participio – Forma</t>
  </si>
  <si>
    <t>Participios regulares de las tres conjugaciones. Variación de género y número. Concordancia con el sustantivo</t>
  </si>
  <si>
    <t>9.4.3. Participio – Valores / significado</t>
  </si>
  <si>
    <t>Valor adjetival</t>
  </si>
  <si>
    <t>Estoy cansado.</t>
  </si>
  <si>
    <t>Sintagma nominal</t>
  </si>
  <si>
    <t>10.1. El núcleo</t>
  </si>
  <si>
    <t>(No explicit A1 content, only reference)</t>
  </si>
  <si>
    <t>[v. Gramática 1.]</t>
  </si>
  <si>
    <t>10.2. Complementos y modificadores</t>
  </si>
  <si>
    <t>Adjetivos no relacionales</t>
  </si>
  <si>
    <t>[v. Gramática 2.1.1.]</t>
  </si>
  <si>
    <t>Sintagma preposicional: único y no ambiguo (término: sustantivo, infinitivo, adverbio). Introducido por de o por otras preposiciones</t>
  </si>
  <si>
    <t>el libro de español, la hora de comer, la clase de hoy</t>
  </si>
  <si>
    <t>Genitivo (posesivo)</t>
  </si>
  <si>
    <t>la página del libro</t>
  </si>
  <si>
    <t>Asociativo</t>
  </si>
  <si>
    <t>la vecina del tercero</t>
  </si>
  <si>
    <t>Con otras preposiciones</t>
  </si>
  <si>
    <t>casa con jardín</t>
  </si>
  <si>
    <t>Modificadores oracionales: oraciones relativas especificativas en indicativo</t>
  </si>
  <si>
    <t>la chica que lleva gafas</t>
  </si>
  <si>
    <t>10.3. Concordancia interna al SN – Regla general</t>
  </si>
  <si>
    <t>Determinante – núcleo – adjetivo</t>
  </si>
  <si>
    <t>10.3. Concordancia interna al SN</t>
  </si>
  <si>
    <t>Concordancia según sexo biológico</t>
  </si>
  <si>
    <t>el caimán / la caimán</t>
  </si>
  <si>
    <t>10.4. Concordancia del SN con el verbo – Regla general</t>
  </si>
  <si>
    <t>Concordancia de número</t>
  </si>
  <si>
    <t>gente vive en pisos compartidos</t>
  </si>
  <si>
    <t>10.4. Concordancia del SN con el verbo</t>
  </si>
  <si>
    <t>Concordancia en coordinación</t>
  </si>
  <si>
    <t>Ni Pedro ni Juan vinieron.</t>
  </si>
  <si>
    <t>10.5. El vocativo</t>
  </si>
  <si>
    <t>Posición inicial y final</t>
  </si>
  <si>
    <t>Juan, ¿eres de Madrid?</t>
  </si>
  <si>
    <t>Sintagma adjetival</t>
  </si>
  <si>
    <t>11.1. El núcleo</t>
  </si>
  <si>
    <t>[v. Gramática 2.]</t>
  </si>
  <si>
    <t>11.2. Complementos y modificadores</t>
  </si>
  <si>
    <t>Modificadores – adverbios de grado</t>
  </si>
  <si>
    <t>muy, poco, bastante</t>
  </si>
  <si>
    <t>Sintagma verbal</t>
  </si>
  <si>
    <t>12.1. El núcleo</t>
  </si>
  <si>
    <t>Verbos predicativos (psicológicos de emoción psíquica)</t>
  </si>
  <si>
    <t>gustar</t>
  </si>
  <si>
    <t>Verbos copulativos o atributivos – Ser + adjetivo</t>
  </si>
  <si>
    <t>Identificativo → Soy Elena.</t>
  </si>
  <si>
    <t>Ser + sustantivo</t>
  </si>
  <si>
    <t>Pertenencia a una clase (origen, profesión, ideología, materia…) → Soy español. Soy estudiante.</t>
  </si>
  <si>
    <t>Localización temporal → Es lunes.</t>
  </si>
  <si>
    <t>Ser + sustantivos / pronombres</t>
  </si>
  <si>
    <t>Identificación → Es él.</t>
  </si>
  <si>
    <t>Estar + adjetivo</t>
  </si>
  <si>
    <t>Localización espacial → Está aquí.</t>
  </si>
  <si>
    <t>Con adverbios de modo</t>
  </si>
  <si>
    <t>Distribucional: bien / mal</t>
  </si>
  <si>
    <t>12.2.1. Atributo</t>
  </si>
  <si>
    <t>Concordancia atributo-sujeto</t>
  </si>
  <si>
    <t>Mis compañeras son alemanas.</t>
  </si>
  <si>
    <t>El atributo es un sustantivo</t>
  </si>
  <si>
    <t>Mario es cocinero.</t>
  </si>
  <si>
    <t>El atributo es un adjetivo</t>
  </si>
  <si>
    <t>El hijo de Marta es rubio.</t>
  </si>
  <si>
    <t>12.2.2. Objeto directo</t>
  </si>
  <si>
    <t>OD de persona sin preposición</t>
  </si>
  <si>
    <t>Tengo dos hermanos.</t>
  </si>
  <si>
    <t>OD de cosa</t>
  </si>
  <si>
    <t>No tengo teléfono.</t>
  </si>
  <si>
    <t>El OD en proposición subordinada</t>
  </si>
  <si>
    <t>Creo que Barcelona es una ciudad muy bonita.</t>
  </si>
  <si>
    <t>12.2.3. Objeto indirecto</t>
  </si>
  <si>
    <t>Pronombre de 1.ª persona singular con gustar</t>
  </si>
  <si>
    <t>Me gusta bailar.</t>
  </si>
  <si>
    <t>Oración simple</t>
  </si>
  <si>
    <t>13.1. Concordancia</t>
  </si>
  <si>
    <t>Concordancia sujeto-verbo</t>
  </si>
  <si>
    <t>Concordancia sujeto-atributo</t>
  </si>
  <si>
    <t>13.2. Constituyentes</t>
  </si>
  <si>
    <t>Orden neutro o canónico: SVO</t>
  </si>
  <si>
    <t>(El Caribe) Tendencia a la presencia de sujeto explícito pronominal con orden SVO</t>
  </si>
  <si>
    <t>Yo soy</t>
  </si>
  <si>
    <t>13.3. Tipos de oraciones simples</t>
  </si>
  <si>
    <t>Según la actitud del hablante → Enunciativas (afirmativas y negativas)</t>
  </si>
  <si>
    <t>Soy español. / No soy español.</t>
  </si>
  <si>
    <t>Según la actitud del hablante → Interrogativas directas totales, con sentido literal</t>
  </si>
  <si>
    <t>¿Te llamas Ana?</t>
  </si>
  <si>
    <t>Según la actitud del hablante → Interrogativas directas parciales, con sentido literal</t>
  </si>
  <si>
    <t>¿Cuándo vienes?</t>
  </si>
  <si>
    <t>Según la naturaleza del predicado → Impersonales con haber</t>
  </si>
  <si>
    <t>Hay tres personas.</t>
  </si>
  <si>
    <t>(Hispanoamérica) Tendencia a personalizar el verbo haber (se interpreta como sujeto un complemento)</t>
  </si>
  <si>
    <t>Habían casas por todas partes. / Hubieron muchas gentes. / Hablamos muchos.</t>
  </si>
  <si>
    <t>Copulativas o atributivas</t>
  </si>
  <si>
    <t>Soy de Madrid.</t>
  </si>
  <si>
    <t>Transitivas e intransitivas</t>
  </si>
  <si>
    <t>Estudio español. / Vivo en Italia.</t>
  </si>
  <si>
    <t>Oraciones compuestas por coordinación</t>
  </si>
  <si>
    <t>14.1. Copulativas</t>
  </si>
  <si>
    <t>Con la conjunción y</t>
  </si>
  <si>
    <t>Soy americana y vivo en Los Ángeles.</t>
  </si>
  <si>
    <t>Negativas con la conjunción ni</t>
  </si>
  <si>
    <t>No me gusta el otoño ni el invierno.</t>
  </si>
  <si>
    <t>14.2. Disyuntivas</t>
  </si>
  <si>
    <t>Con la conjunción o</t>
  </si>
  <si>
    <t>¿Eres americano o inglés?</t>
  </si>
  <si>
    <t>14.3. Adversativas</t>
  </si>
  <si>
    <t>Con la conjunción pero</t>
  </si>
  <si>
    <t>Soy alemán, pero vivo en Suiza.</t>
  </si>
  <si>
    <t>14.4. Distributivas</t>
  </si>
  <si>
    <t>Con uno… otro</t>
  </si>
  <si>
    <t>Uno habla alemán, otro habla francés.</t>
  </si>
  <si>
    <t>Oraciones compuestas por subordinación</t>
  </si>
  <si>
    <t>15.1.1. De infinitivo</t>
  </si>
  <si>
    <t>En función de sujeto – con ser</t>
  </si>
  <si>
    <t>Hablar español es útil.</t>
  </si>
  <si>
    <t>En función de sujeto – con gustar</t>
  </si>
  <si>
    <t>Me gusta estudiar español.</t>
  </si>
  <si>
    <t>En función de OD – verbos de actividad mental transitivos (ej. querer)</t>
  </si>
  <si>
    <t>Quiero ir a España.</t>
  </si>
  <si>
    <t>15.1.2. Flexionadas</t>
  </si>
  <si>
    <t>En función de OD – con creer (forma afirmativa)</t>
  </si>
  <si>
    <t>Creo que es muy caro.</t>
  </si>
  <si>
    <t>15.2. Oraciones subordinadas adjetivas o de relativo</t>
  </si>
  <si>
    <t>Tipo: Especificativas o restrictivas, con antecedente expreso</t>
  </si>
  <si>
    <t>La profesora que tengo es muy buena.</t>
  </si>
  <si>
    <t>Pronombre relativo: que (con antecedente expreso, función de sujeto y OD)</t>
  </si>
  <si>
    <t>La amiga que viene conmigo / Un libro que lees</t>
  </si>
  <si>
    <t>Modo</t>
  </si>
  <si>
    <t>Indicativo: presente</t>
  </si>
  <si>
    <t>15.3. Oraciones subordinadas adverbiales</t>
  </si>
  <si>
    <t>15.3.4. Causales – Tipo: del enunciado (posición pospuesta)</t>
  </si>
  <si>
    <t>Estudio español porque mi novio es de Cáceres.</t>
  </si>
  <si>
    <t>15.3.4. Causales – Tipo: causales de motivación (exigencia de sujeto agentivo)</t>
  </si>
  <si>
    <t>Estoy en España porque me gusta.</t>
  </si>
  <si>
    <t>15.3.4. Causales – Nexos de causalidad</t>
  </si>
  <si>
    <t>porque</t>
  </si>
  <si>
    <t>15.3.4. Causales – Conector contraste</t>
  </si>
  <si>
    <t>por qué (interrogativo) / porque</t>
  </si>
  <si>
    <t>15.3.4. Causales – Modo</t>
  </si>
  <si>
    <t>Siempre en indicativo</t>
  </si>
  <si>
    <t>15.3.5. Finales – Tipo</t>
  </si>
  <si>
    <t>Integradas en infinitivo → Tengo un libro para aprender español.</t>
  </si>
  <si>
    <t>15.3.5. Finales – Valores: objetivo/utilidad (sujeto agentivo con infinitivo)</t>
  </si>
  <si>
    <t>Estudio español para trabajar en México.</t>
  </si>
  <si>
    <t>15.3.5. Finales – Valores: objetivo/utilidad (sujeto no agentivo con infinitivo)</t>
  </si>
  <si>
    <t>El bolí es para escribir.</t>
  </si>
  <si>
    <t>15.3.5. Finales – Nexos y conectores finales</t>
  </si>
  <si>
    <t>para + infinitivo → Este libro es para aprender español.</t>
  </si>
  <si>
    <r>
      <rPr/>
      <t xml:space="preserve">Reference:  </t>
    </r>
    <r>
      <rPr>
        <color rgb="FF1155CC"/>
        <u/>
      </rPr>
      <t>https://cvc.cervantes.es/ensenanza/biblioteca_ele/plan_curricular/niveles/03_pronunciacion_inventario_a1-a2.htm</t>
    </r>
  </si>
  <si>
    <t>1. La base de articulación</t>
  </si>
  <si>
    <t>1.1. Caracterización general del español</t>
  </si>
  <si>
    <t>Modo normal de fonación</t>
  </si>
  <si>
    <t>Grado de tensión</t>
  </si>
  <si>
    <t>Menor que francés, superior al inglés</t>
  </si>
  <si>
    <t>Pureza de las vocales</t>
  </si>
  <si>
    <t>No hay vocales anteriores redondeadas</t>
  </si>
  <si>
    <t>Ausencia de africación en las consonantes</t>
  </si>
  <si>
    <t>Mantenimiento del timbre en vocales inacentuadas</t>
  </si>
  <si>
    <t>Movimiento de labios</t>
  </si>
  <si>
    <t>Relativamente marcado</t>
  </si>
  <si>
    <t>Nasalización</t>
  </si>
  <si>
    <t>Poco constante, sin relevancia fonológica</t>
  </si>
  <si>
    <t>Base articulatoria creciente</t>
  </si>
  <si>
    <t>Tendencia a la sílaba abierta</t>
  </si>
  <si>
    <t>Base central-anterior</t>
  </si>
  <si>
    <t>Predominio de alveolares y palatales</t>
  </si>
  <si>
    <t>Precisiones sobre «acento idiomático»</t>
  </si>
  <si>
    <t>Noción del acento</t>
  </si>
  <si>
    <t>Hábitos articulatorios, procedencia geográfica/sociocultural</t>
  </si>
  <si>
    <t>Variedades</t>
  </si>
  <si>
    <t>Información sobre articulación en el mundo hispánico</t>
  </si>
  <si>
    <t>2. La entonación</t>
  </si>
  <si>
    <t>2.1. Segmentación en unidades melódicas</t>
  </si>
  <si>
    <t>Correspondencia con puntuación</t>
  </si>
  <si>
    <t>Punto</t>
  </si>
  <si>
    <t>Coma</t>
  </si>
  <si>
    <t>Signos de interrogación y exclamación</t>
  </si>
  <si>
    <t>Extensión de la unidad</t>
  </si>
  <si>
    <t>Unidad mínima: palabra monosilábica (¿Quién ha venido? – Yo.)</t>
  </si>
  <si>
    <t>Unidades de 5–10 sílabas: predomina 7–8 (Trabaja en un banco.)</t>
  </si>
  <si>
    <t>Escasez de &lt;5 y &gt;10–15 sílabas (¿Qué? / No creo que tengas razón…)</t>
  </si>
  <si>
    <t>Contraste con otras lenguas</t>
  </si>
  <si>
    <t>Francés: unidades más cortas</t>
  </si>
  <si>
    <t>Italiano: más largas (hasta 20 sílabas), entonación más musical</t>
  </si>
  <si>
    <t>Inglés: medidas análogas</t>
  </si>
  <si>
    <t>Correspondencias sintácticas</t>
  </si>
  <si>
    <t>Vocativo (Sara, ¿me dejas tus ejercicios?)</t>
  </si>
  <si>
    <t>Oraciones simples cortas (Me llamo Pedro.)</t>
  </si>
  <si>
    <t>Oraciones largas &gt;15 sílabas (mínimo 2 unidades)</t>
  </si>
  <si>
    <t>Enumeraciones (Tengo un lápiz, un cuaderno, un libro…)</t>
  </si>
  <si>
    <t>Oraciones coordinadas (Quiero ir // pero no puedo)</t>
  </si>
  <si>
    <t>2.2. Patrones melódicos enunciativos</t>
  </si>
  <si>
    <t>[España] moderación; [Hispanoamérica] mayor variación</t>
  </si>
  <si>
    <t>2.2.1. Al principio</t>
  </si>
  <si>
    <t>Inflexión inicial</t>
  </si>
  <si>
    <t>Tono grave en átonas iniciales</t>
  </si>
  <si>
    <t>Inicio con sílaba tónica</t>
  </si>
  <si>
    <t>Tono medio desde el principio (Tengo dos hermanos.)</t>
  </si>
  <si>
    <t>Contraste con francés</t>
  </si>
  <si>
    <t>Francés: tono gradualmente ascendente</t>
  </si>
  <si>
    <t>Contraste con inglés</t>
  </si>
  <si>
    <t>Inglés: tono inicial más alto incluso en átonas</t>
  </si>
  <si>
    <t>Contraste con alemán</t>
  </si>
  <si>
    <t>Aleman: descenso inicial y ascenso en la tónica</t>
  </si>
  <si>
    <t>2.2.2. Cuerpo</t>
  </si>
  <si>
    <t>Entonación uniforme</t>
  </si>
  <si>
    <t>Carácter sobrio de la entonación española</t>
  </si>
  <si>
    <t>Tendencia a elevación</t>
  </si>
  <si>
    <t>Tendencia a tono descendente</t>
  </si>
  <si>
    <t>Rasgos quebrados ascendentes y descendentes</t>
  </si>
  <si>
    <t>Contraste con italiano</t>
  </si>
  <si>
    <t>Inflexiones extensas (elevación en tónicas, descenso en átonas)</t>
  </si>
  <si>
    <t>2.2.3. Final</t>
  </si>
  <si>
    <t>Localización de relevancia</t>
  </si>
  <si>
    <t>Siempre al final de la unidad</t>
  </si>
  <si>
    <t>Palabra aguda</t>
  </si>
  <si>
    <t>Final melódico en 1 sílaba</t>
  </si>
  <si>
    <t>Palabra llana</t>
  </si>
  <si>
    <t>Final melódico en 2 sílabas</t>
  </si>
  <si>
    <t>Palabra esdrújula</t>
  </si>
  <si>
    <t>Final melódico en 3 sílabas</t>
  </si>
  <si>
    <t>Tonema de cadencia</t>
  </si>
  <si>
    <t>Terminación absoluta, tono grave</t>
  </si>
  <si>
    <t>Tonema de anticadencia</t>
  </si>
  <si>
    <t>Ascenso de 4–5 semitonos</t>
  </si>
  <si>
    <t>Tonema de suspensión</t>
  </si>
  <si>
    <t>Sin ascenso ni descenso</t>
  </si>
  <si>
    <t>Valor expresivo</t>
  </si>
  <si>
    <t>Cadencia marcada: aseveración categórica / menos marcada: dubitativa</t>
  </si>
  <si>
    <t>2.3. Patrones interrogativos</t>
  </si>
  <si>
    <t>Entonación absoluta vs. relativa</t>
  </si>
  <si>
    <t>¿Están estudiando? vs. Están estudiando desde las tres.</t>
  </si>
  <si>
    <t>Interrogativa con pronombre</t>
  </si>
  <si>
    <t>¿Quién es tu profesor?</t>
  </si>
  <si>
    <t>2.4. Actos de habla</t>
  </si>
  <si>
    <t>Exclamativos y expresivos</t>
  </si>
  <si>
    <t>Formas básicas</t>
  </si>
  <si>
    <t>Saludos y cortesía</t>
  </si>
  <si>
    <t>Muchas gracias; Buenas tardes; Adiós; ¿Qué tal?</t>
  </si>
  <si>
    <t>3. La sílaba y el acento</t>
  </si>
  <si>
    <t>3.1.1. Estructura silábica</t>
  </si>
  <si>
    <t>Sílaba abierta</t>
  </si>
  <si>
    <t>ho-la</t>
  </si>
  <si>
    <t>Sílaba cerrada</t>
  </si>
  <si>
    <t>nom-bre</t>
  </si>
  <si>
    <t>Núcleo vocálico</t>
  </si>
  <si>
    <t>Diptongos y triptongos posibles</t>
  </si>
  <si>
    <t>Sílabas monofonemáticas</t>
  </si>
  <si>
    <t>y, a-é-re-o</t>
  </si>
  <si>
    <t>Sílabas polifonemáticas</t>
  </si>
  <si>
    <t>co-ci-nar</t>
  </si>
  <si>
    <t>Estructuras comunes</t>
  </si>
  <si>
    <t>CV, CVC, CCV, VC, etc.</t>
  </si>
  <si>
    <t>Cantidad silábica</t>
  </si>
  <si>
    <t>No hay largas/breves en español</t>
  </si>
  <si>
    <t>3.1.2. Resilabeo</t>
  </si>
  <si>
    <t>Delimitación silábica</t>
  </si>
  <si>
    <t>tomar algo → to.má.ral.go</t>
  </si>
  <si>
    <t>Ejemplo</t>
  </si>
  <si>
    <t>dos amigos → dó.sa.mí.gos</t>
  </si>
  <si>
    <t>me he levantado → me.le.van.tá.do</t>
  </si>
  <si>
    <t>3.2.1. Acento</t>
  </si>
  <si>
    <t>Características</t>
  </si>
  <si>
    <t>Multifactorial: tónico, durativo, intensivo</t>
  </si>
  <si>
    <t>Acento fijo en última</t>
  </si>
  <si>
    <t>Contraste con checo</t>
  </si>
  <si>
    <t>Acento fijo en primera</t>
  </si>
  <si>
    <t>Contraste con polaco</t>
  </si>
  <si>
    <t>Acento fijo en penúltima</t>
  </si>
  <si>
    <t>Contraste con inglés/italiano</t>
  </si>
  <si>
    <t>Acento libre</t>
  </si>
  <si>
    <t>Variaciones regionales</t>
  </si>
  <si>
    <t>España vs. Hispanoamérica (reúma/reuma, vídeo/video, etc.)</t>
  </si>
  <si>
    <t>3.2.2. Acento léxico</t>
  </si>
  <si>
    <t>Cambio de significado</t>
  </si>
  <si>
    <t>caso vs. casó</t>
  </si>
  <si>
    <t>3.2.3. Clasificación</t>
  </si>
  <si>
    <t>Agudas</t>
  </si>
  <si>
    <t>tra-ba-jar, tra-ba-jáis</t>
  </si>
  <si>
    <t>Llanas</t>
  </si>
  <si>
    <t>ni-ño, a-dul-to</t>
  </si>
  <si>
    <t>Esdrújulas</t>
  </si>
  <si>
    <t>rá-pi-do, mú-si-ca</t>
  </si>
  <si>
    <t>Sobresdrújulas</t>
  </si>
  <si>
    <t>pre-gún-ta-se-lo</t>
  </si>
  <si>
    <t>Adverbios -mente</t>
  </si>
  <si>
    <t>rápidamente</t>
  </si>
  <si>
    <t>3.2.4. Esquemas acentuales</t>
  </si>
  <si>
    <t>Verbales</t>
  </si>
  <si>
    <t>Presente: penúltima (trabajo, trabajas… excepto trabajáis)</t>
  </si>
  <si>
    <t>Acento morfológico: trabaj-é, trabaj-aba…</t>
  </si>
  <si>
    <t>No verbales</t>
  </si>
  <si>
    <t>Bisílabos llanos/agudos: casa, papel</t>
  </si>
  <si>
    <t>Trisílabos: plátano, maleta, contestar</t>
  </si>
  <si>
    <t>Tetrasílabos: cuéntaselo, teléfono, cocinero, terminación</t>
  </si>
  <si>
    <t>Pentasílabos: repítemelo, frigorífico, comunicación</t>
  </si>
  <si>
    <t>4. Ritmo, pausas y tiempo</t>
  </si>
  <si>
    <t>4.1.1. Ritmo</t>
  </si>
  <si>
    <t>Característica</t>
  </si>
  <si>
    <t>Lengua silábicamente acompasada</t>
  </si>
  <si>
    <t>Contraste con francés/italiano</t>
  </si>
  <si>
    <t>Silábicas</t>
  </si>
  <si>
    <t>Contraste con inglés/alemán</t>
  </si>
  <si>
    <t>Acentuales</t>
  </si>
  <si>
    <t>4.2.1. Pausas obligatorias</t>
  </si>
  <si>
    <t>Mantener significado</t>
  </si>
  <si>
    <t>No tenemos que seguir / No, tenemos que seguir</t>
  </si>
  <si>
    <t>Enumerativas</t>
  </si>
  <si>
    <t>Era alto, rubio, guapo</t>
  </si>
  <si>
    <t>4.2.2. Pausas virtuales</t>
  </si>
  <si>
    <t>Vino María // con su hijo</t>
  </si>
  <si>
    <t>4.2.3. Pausas llenas</t>
  </si>
  <si>
    <t>Vocal de duda</t>
  </si>
  <si>
    <t>eeee…</t>
  </si>
  <si>
    <t>Consonante de duda</t>
  </si>
  <si>
    <t>mmm…</t>
  </si>
  <si>
    <t>Demostrativos</t>
  </si>
  <si>
    <t>esto:, este:</t>
  </si>
  <si>
    <t>Marcadores</t>
  </si>
  <si>
    <t>pues, bueno</t>
  </si>
  <si>
    <t>Interjecciones</t>
  </si>
  <si>
    <t>¡a:!</t>
  </si>
  <si>
    <t>4.2.4. Grupo fónico</t>
  </si>
  <si>
    <t>Concepto y extensión</t>
  </si>
  <si>
    <t>5. Los fonemas</t>
  </si>
  <si>
    <t>5.1.1. Vocales</t>
  </si>
  <si>
    <t>Cualidad /a, e, i, o, u/</t>
  </si>
  <si>
    <t>Claridad y precisión</t>
  </si>
  <si>
    <t>Comparación</t>
  </si>
  <si>
    <t>Otras lenguas: francés, inglés, alemán</t>
  </si>
  <si>
    <t>Posición de lengua</t>
  </si>
  <si>
    <t>Vocal a (central), e/i (anteriores), o/u (posteriores)</t>
  </si>
  <si>
    <t>Abertura mandibular</t>
  </si>
  <si>
    <t>a (abierta), e/o (medias), i/u (cerradas)</t>
  </si>
  <si>
    <t>Ataque suave</t>
  </si>
  <si>
    <t>No hay golpe de glotis</t>
  </si>
  <si>
    <t>5.1.2. Comparación de vocales</t>
  </si>
  <si>
    <t>A</t>
  </si>
  <si>
    <t>Central (caro, rápido…)</t>
  </si>
  <si>
    <t>I</t>
  </si>
  <si>
    <t>Similar al francés vie, menos cerrada</t>
  </si>
  <si>
    <t>E</t>
  </si>
  <si>
    <t>No tan cerrada, no diptongada</t>
  </si>
  <si>
    <t>O</t>
  </si>
  <si>
    <t>No cerrada, no diptongada como inglés note</t>
  </si>
  <si>
    <t>U</t>
  </si>
  <si>
    <t>Similar al francés tout</t>
  </si>
  <si>
    <t>5.1.3. Diptongos</t>
  </si>
  <si>
    <t>Crecientes</t>
  </si>
  <si>
    <t>fiasco, viejo, labio, guante</t>
  </si>
  <si>
    <t>Decrecientes</t>
  </si>
  <si>
    <t>bailar, aula, ley, euro</t>
  </si>
  <si>
    <t>Diptongo iu</t>
  </si>
  <si>
    <t>ruido</t>
  </si>
  <si>
    <t>5.1.4. Triptongos</t>
  </si>
  <si>
    <t>Formación</t>
  </si>
  <si>
    <t>limpiáis</t>
  </si>
  <si>
    <t>5.1.4. Hiatos</t>
  </si>
  <si>
    <t>confi-áis</t>
  </si>
  <si>
    <t>Tendencia antihiática</t>
  </si>
  <si>
    <t>Habla coloquial: golp[i̯á]r por golpear</t>
  </si>
  <si>
    <t>5.2.1. Consonantes</t>
  </si>
  <si>
    <t>Oclusivas/fricativas</t>
  </si>
  <si>
    <t>poca/boca, te/de</t>
  </si>
  <si>
    <t>Nasal palatal</t>
  </si>
  <si>
    <t>niño, maño</t>
  </si>
  <si>
    <t>Palatal africada</t>
  </si>
  <si>
    <t>ch (niño/nicho)</t>
  </si>
  <si>
    <t>Yeísmo</t>
  </si>
  <si>
    <t>Pollo/poyo</t>
  </si>
  <si>
    <t>Yeísmo general / distinción en regiones andinas</t>
  </si>
  <si>
    <t>Líquidas</t>
  </si>
  <si>
    <t>pelo/pero</t>
  </si>
  <si>
    <t>Vibrantes</t>
  </si>
  <si>
    <t>pero/perro</t>
  </si>
  <si>
    <t>[x]</t>
  </si>
  <si>
    <t>gente, jefe</t>
  </si>
  <si>
    <t>Interdentales</t>
  </si>
  <si>
    <t>[z] ≈ th (think) – seseo en Hispanoamérica</t>
  </si>
  <si>
    <t>5.2.2. Sonidos-grafías</t>
  </si>
  <si>
    <t>Relación</t>
  </si>
  <si>
    <t>Ortografía</t>
  </si>
  <si>
    <t>5.3.1. Enlace vocales</t>
  </si>
  <si>
    <t>Sinéresis</t>
  </si>
  <si>
    <t>Raúl &gt; Rául</t>
  </si>
  <si>
    <t>Reducción</t>
  </si>
  <si>
    <t>alcohol &gt; al-col</t>
  </si>
  <si>
    <t>Sinalefa</t>
  </si>
  <si>
    <t>vivo en Málaga &gt; vi-voen-Má-la-ga</t>
  </si>
  <si>
    <t>se ha sentado &gt; s’asentado</t>
  </si>
  <si>
    <t>5.3.2. Sirrema</t>
  </si>
  <si>
    <t>Artículo + sustantivo</t>
  </si>
  <si>
    <t>el amor &gt; elamor; la casa &gt; lacasa</t>
  </si>
  <si>
    <t>Adjetivo + sustantivo</t>
  </si>
  <si>
    <t>el hombre bueno &gt; elhombrebueno</t>
  </si>
  <si>
    <t>Sustantivo + complemento</t>
  </si>
  <si>
    <t>casa de Paco &gt; casadepaco</t>
  </si>
  <si>
    <t>Tiempos compuestos</t>
  </si>
  <si>
    <t>ha salido &gt; hasalido</t>
  </si>
  <si>
    <t>Pronombre átono + verbo</t>
  </si>
  <si>
    <t>la vi ayer &gt; laviayer</t>
  </si>
  <si>
    <t>1. Ortografía de letras y palabras</t>
  </si>
  <si>
    <t>1.1. Abecedario</t>
  </si>
  <si>
    <t>Nombre de las letras del abecedario o alfabeto</t>
  </si>
  <si>
    <t>Letras con varios nombres en español</t>
  </si>
  <si>
    <t>b: be, be alta, be larga</t>
  </si>
  <si>
    <t>r/rr: ere, erre</t>
  </si>
  <si>
    <t>v: uve, ve, ve baja, ve corta</t>
  </si>
  <si>
    <t>w: uve doble, ve doble, doble uve, doble u</t>
  </si>
  <si>
    <t>y: i griega, ye</t>
  </si>
  <si>
    <t>z: zeta</t>
  </si>
  <si>
    <t>Plural de las letras</t>
  </si>
  <si>
    <t>los eses, los ces – “Esta palabra tiene dos lés”</t>
  </si>
  <si>
    <t>Correspondencia de más de una letra para un sonido</t>
  </si>
  <si>
    <t>b/v → /b/</t>
  </si>
  <si>
    <t>g/e, g/i → /x/</t>
  </si>
  <si>
    <t>k/qu + e,a,o,u → /k/</t>
  </si>
  <si>
    <t>Correspondencia de una letra para más de un sonido</t>
  </si>
  <si>
    <t>v → /u/, /b/</t>
  </si>
  <si>
    <t>y → /ʝ/, /i/</t>
  </si>
  <si>
    <t>Dígrafos</t>
  </si>
  <si>
    <t>ch, ll</t>
  </si>
  <si>
    <t>Deletreo</t>
  </si>
  <si>
    <t>Escasa frecuencia de aparición de consonantes idénticas contiguas en español</t>
  </si>
  <si>
    <t>1.2. Vocales</t>
  </si>
  <si>
    <t>Letras a, e, i, o, u – representación gráfica</t>
  </si>
  <si>
    <t>/a/, /e/, /i/, /o/, /u/</t>
  </si>
  <si>
    <t>Susceptibles de llevar tilde</t>
  </si>
  <si>
    <t>(en oposición a las consonantes)</t>
  </si>
  <si>
    <t>Conjunción e/y</t>
  </si>
  <si>
    <t>*Hablo español e inglés* / *Hablo español y inglés*</t>
  </si>
  <si>
    <t>Conjunción o/u</t>
  </si>
  <si>
    <t>*Tiene diez o once libros* / *Tiene diez u once libros*</t>
  </si>
  <si>
    <t>1.3. Consonantes</t>
  </si>
  <si>
    <t>1.3.1. Letra b</t>
  </si>
  <si>
    <t>Representación gráfica del fonema labial sonoro /b/</t>
  </si>
  <si>
    <t>1.3.1. Letra v</t>
  </si>
  <si>
    <t>Presente de indicativo de *ir*</t>
  </si>
  <si>
    <t>1.3.1. Letra w</t>
  </si>
  <si>
    <t>Representación gráfica del fonema semiconsonántico /w/ en voces no adaptadas</t>
  </si>
  <si>
    <t>sándwich, web</t>
  </si>
  <si>
    <t>1.3.2. Letra c</t>
  </si>
  <si>
    <t>Representación gráfica del fonema oclusivo velar sordo /k/</t>
  </si>
  <si>
    <t>ante a, o, u, consonante y en posición final de sílaba (calle, compañero, cuatro, clase, actor)</t>
  </si>
  <si>
    <t>Representación gráfica del fonema fricativo interdental sordo /θ/</t>
  </si>
  <si>
    <t>ante e, i (cena, cine)</t>
  </si>
  <si>
    <t>Excepción</t>
  </si>
  <si>
    <t>zeta</t>
  </si>
  <si>
    <t>Seseo – representación del fonema predorsal fricativo sordo /s/</t>
  </si>
  <si>
    <t>(Hispanoamérica, suroeste de España, Canarias)</t>
  </si>
  <si>
    <t>Posibilidad de duplicación</t>
  </si>
  <si>
    <t>cc en español (lección, dirección, diccionario)</t>
  </si>
  <si>
    <t>1.3.2. Letra k</t>
  </si>
  <si>
    <t>kilómetro</t>
  </si>
  <si>
    <t>1.3.2. Letra q</t>
  </si>
  <si>
    <t>Dígrafo qu ante e,i → /k/</t>
  </si>
  <si>
    <t>pequeño, quien</t>
  </si>
  <si>
    <t>1.3.2. Letra z</t>
  </si>
  <si>
    <t>Representación gráfica del fonema fricativo interdental /θ/</t>
  </si>
  <si>
    <t>ante a, o, u (zapatos, brazo, azul)</t>
  </si>
  <si>
    <t>Seseo – /s/</t>
  </si>
  <si>
    <t>Posición final de sílaba o palabra</t>
  </si>
  <si>
    <t>mezquita, lápiz</t>
  </si>
  <si>
    <t>1.3.2. Dígrafo ch</t>
  </si>
  <si>
    <t>Representación gráfica del fonema africado palatal sordo /ʧ/</t>
  </si>
  <si>
    <t>chino</t>
  </si>
  <si>
    <t>1.3.3. Letra g</t>
  </si>
  <si>
    <t>Representación gráfica del fonema velar sonoro /g/</t>
  </si>
  <si>
    <t>ante a, o, u, o consonante (gato, bigote, agua, bolígrafo)</t>
  </si>
  <si>
    <t>Representación gráfica del fonema velar sordo /x/</t>
  </si>
  <si>
    <t>ante e, i (gente, colegio)</t>
  </si>
  <si>
    <t>Dígrafo gu ante e, i</t>
  </si>
  <si>
    <t>Representación del fonema /g/ (hamburguesa, guitarra)</t>
  </si>
  <si>
    <t>1.3.3. Letra j</t>
  </si>
  <si>
    <t>Juan, extranjero, reloj</t>
  </si>
  <si>
    <t>1.3.4. Letra h</t>
  </si>
  <si>
    <t>Correspondencia de la h con ausencia de sonido</t>
  </si>
  <si>
    <t>Posición de la letra – inicio de palabra</t>
  </si>
  <si>
    <t>hermano, hijo</t>
  </si>
  <si>
    <t>Palabras procedentes de voces latinas</t>
  </si>
  <si>
    <t>con f inicial (hacer, hijo)</t>
  </si>
  <si>
    <t>1.3.5. Letra y</t>
  </si>
  <si>
    <t>Representación del fonema vocálico /i/</t>
  </si>
  <si>
    <t>diptongos, triptongos, conjunción (hay, soy, Uruguay)</t>
  </si>
  <si>
    <t>Representación del fonema palatal sonoro /ʝ/</t>
  </si>
  <si>
    <t>ante vocal (yo, ayer, desayuno)</t>
  </si>
  <si>
    <t>Conjunción</t>
  </si>
  <si>
    <t>Sustitución de “y” por “e” ante palabra con /i/ inicial (Pedro e Inés)</t>
  </si>
  <si>
    <t>1.3.5. Dígrafo ll</t>
  </si>
  <si>
    <t>Representación del fonema palatal lateral sonoro /ʎ/</t>
  </si>
  <si>
    <t>billete, llevar</t>
  </si>
  <si>
    <t>1.3.6. Letra m</t>
  </si>
  <si>
    <t>Representación del fonema labial nasal /m/</t>
  </si>
  <si>
    <t>en inicio de palabra o sílaba (madre, número)</t>
  </si>
  <si>
    <t>1.3.6. Letra n</t>
  </si>
  <si>
    <t>Representación del fonema dental nasal /n/</t>
  </si>
  <si>
    <t>ante b, p, v (nombre, tiempo)</t>
  </si>
  <si>
    <t>1.3.6. Letra ñ</t>
  </si>
  <si>
    <t>Representación del fonema palatal nasal /ɲ/</t>
  </si>
  <si>
    <t>en inicio de sílaba (compañero, pequeño, año)</t>
  </si>
  <si>
    <t>1.3.7. Letra p</t>
  </si>
  <si>
    <t>Representación del fonema labial oclusivo sordo /p/</t>
  </si>
  <si>
    <t>padre, aprender</t>
  </si>
  <si>
    <t>Grupo ps-</t>
  </si>
  <si>
    <t>Soy psicólogo</t>
  </si>
  <si>
    <t>1.3.8. Letra r</t>
  </si>
  <si>
    <t>Representación del fonema vibrante simple /ɾ/</t>
  </si>
  <si>
    <t>intervocálica, después de consonantes (número, madre, francés…)</t>
  </si>
  <si>
    <t>Representación del fonema vibrante múltiple /r/</t>
  </si>
  <si>
    <t>en posición inicial, después de consonante distinta (rubio, Enrique)</t>
  </si>
  <si>
    <t>1.3.8. Dígrafo rr</t>
  </si>
  <si>
    <t>intervocálica (marrón)</t>
  </si>
  <si>
    <t>1.3.9. Letra s</t>
  </si>
  <si>
    <t>Representación del fonema fricativo predorsal sordo /s/</t>
  </si>
  <si>
    <t>1.3.9. Letra x</t>
  </si>
  <si>
    <t>Representación del grupo /ks/ o /gs/</t>
  </si>
  <si>
    <t>en posición intervocálica o final de sílaba/palabra (taxista, exposición, relax)</t>
  </si>
  <si>
    <t>Representación del fonema fricativo sordo /x/</t>
  </si>
  <si>
    <t>en voces como México, Oaxaca, Texas</t>
  </si>
  <si>
    <t>1.3.10. Letra t</t>
  </si>
  <si>
    <t>Representación del fonema dental oclusivo sordo /t/</t>
  </si>
  <si>
    <t>teatro, contento</t>
  </si>
  <si>
    <t>1.3.10. Letra d</t>
  </si>
  <si>
    <t>Representación del fonema dental oclusivo sonoro /d/</t>
  </si>
  <si>
    <t>Due Date</t>
  </si>
  <si>
    <t>Person/ Status</t>
  </si>
  <si>
    <t>Type</t>
  </si>
  <si>
    <t>Name</t>
  </si>
  <si>
    <t>dashed-name</t>
  </si>
  <si>
    <t>QA</t>
  </si>
  <si>
    <t>PR Links/ notes</t>
  </si>
  <si>
    <t>Chapter</t>
  </si>
  <si>
    <t xml:space="preserve">Welcome to A1 Professional Spanish </t>
  </si>
  <si>
    <t>es-a1-chapter-welcome-to-a1-professional-spanish</t>
  </si>
  <si>
    <t>Rafael</t>
  </si>
  <si>
    <t>Module</t>
  </si>
  <si>
    <t>Introduction and Certification Overview</t>
  </si>
  <si>
    <t>es-a1-module-introduction-and-certification-overview</t>
  </si>
  <si>
    <t>https://github.com/freeCodeCamp/freeCodeCamp/pull/62424</t>
  </si>
  <si>
    <t>Merged 🎉</t>
  </si>
  <si>
    <t>Learn</t>
  </si>
  <si>
    <t>Certification Introduction</t>
  </si>
  <si>
    <t>es-a1-learn-certification-introduction</t>
  </si>
  <si>
    <t>Spanish Fundamentals</t>
  </si>
  <si>
    <t>es-a1-chapter-spanish-fundamentals</t>
  </si>
  <si>
    <t>Estefania</t>
  </si>
  <si>
    <t>Letters, Sounds and First Numbers</t>
  </si>
  <si>
    <t>es-a1-module-letters-sounds-and-first-numbers</t>
  </si>
  <si>
    <r>
      <rPr>
        <color rgb="FF000000"/>
        <sz val="10.0"/>
        <u/>
      </rPr>
      <t>https://github.com/freeCodeCamp/freeCodeCamp/pull/62719</t>
    </r>
    <r>
      <rPr>
        <color rgb="FF000000"/>
        <sz val="10.0"/>
      </rPr>
      <t xml:space="preserve"> rename</t>
    </r>
  </si>
  <si>
    <t>Vowels</t>
  </si>
  <si>
    <t>es-a1-learn-vowels</t>
  </si>
  <si>
    <t>Consonants and Special Characters</t>
  </si>
  <si>
    <t>es-a1-learn-consonants-and-special-characters</t>
  </si>
  <si>
    <t>Practice</t>
  </si>
  <si>
    <t>The Spanish Alphabet Practice</t>
  </si>
  <si>
    <t>es-a1-practice-the-alphabet</t>
  </si>
  <si>
    <t>The First Ten Numbers</t>
  </si>
  <si>
    <t>es-a1-learn-the-first-ten-numbers</t>
  </si>
  <si>
    <t>https://github.com/freeCodeCamp/freeCodeCamp/pull/64018</t>
  </si>
  <si>
    <t>The First Ten Numbers Practice</t>
  </si>
  <si>
    <t>es-a1-practice-the-first-ten-numbers</t>
  </si>
  <si>
    <t>Review</t>
  </si>
  <si>
    <t>Spanish Fundamentals Review</t>
  </si>
  <si>
    <t>es-a1-review-spanish-fundamentals</t>
  </si>
  <si>
    <t>Quiz</t>
  </si>
  <si>
    <t>Spanish Fundamentals Quiz</t>
  </si>
  <si>
    <t>es-a1-quiz-spanish-fundamentals</t>
  </si>
  <si>
    <t>Greetings and Introductions</t>
  </si>
  <si>
    <t>es-a1-chapter-greetings-and-introductions</t>
  </si>
  <si>
    <t>Nielda</t>
  </si>
  <si>
    <t>Greetings and Farewells</t>
  </si>
  <si>
    <t>es-a1-module-greetings-and-farewells</t>
  </si>
  <si>
    <t>https://github.com/freeCodeCamp/freeCodeCamp/pull/62201</t>
  </si>
  <si>
    <t>Warm-up</t>
  </si>
  <si>
    <t>Greetings and Farewells Basics</t>
  </si>
  <si>
    <t>es-a1-warm-up-greetings-and-farewells-basics</t>
  </si>
  <si>
    <t>Greetings During the Day</t>
  </si>
  <si>
    <t>es-a1-learn-greetings-during-the-day</t>
  </si>
  <si>
    <t>Greetings and Farewells Practice</t>
  </si>
  <si>
    <t>es-a1-practice-greetings-and-farewells</t>
  </si>
  <si>
    <t>Greetings and Farewells Review</t>
  </si>
  <si>
    <t>es-a1-review-greetings-and-farewells</t>
  </si>
  <si>
    <t>Greetings and Farewells Quiz</t>
  </si>
  <si>
    <t>es-a1-quiz-greetings-and-farewells</t>
  </si>
  <si>
    <t xml:space="preserve">Introducing Yourself </t>
  </si>
  <si>
    <t>es-a1-module-introducing-yourself</t>
  </si>
  <si>
    <t>https://github.com/freeCodeCamp/freeCodeCamp/pull/64535</t>
  </si>
  <si>
    <t>Introducing Yourself Basics</t>
  </si>
  <si>
    <t>es-a1-warm-up-introducing-yourself-basics</t>
  </si>
  <si>
    <t>https://github.com/freeCodeCamp/freeCodeCamp/pull/62465</t>
  </si>
  <si>
    <t>Meet Luna</t>
  </si>
  <si>
    <t>es-a1-learn-meet-luna</t>
  </si>
  <si>
    <t>https://github.com/freeCodeCamp/freeCodeCamp/pull/63825</t>
  </si>
  <si>
    <t>Meet Mateo</t>
  </si>
  <si>
    <t>es-a1-learn-meet-mateo</t>
  </si>
  <si>
    <t>Meet Julieta</t>
  </si>
  <si>
    <t>es-a1-learn-meet-julieta</t>
  </si>
  <si>
    <t>Introducing Yourself Practice</t>
  </si>
  <si>
    <t>es-a1-practice-introducing-yourself</t>
  </si>
  <si>
    <t>https://github.com/freeCodeCamp/freeCodeCamp/pull/63985</t>
  </si>
  <si>
    <t>Introducing Yourself Review</t>
  </si>
  <si>
    <t>es-a1-review-introducing-yourself</t>
  </si>
  <si>
    <t>Introducing Yourself Quiz</t>
  </si>
  <si>
    <t>es-a1-quiz-introducing-yourself</t>
  </si>
  <si>
    <t>First Questions</t>
  </si>
  <si>
    <t>es-a1-module-first-questions</t>
  </si>
  <si>
    <t>https://github.com/freeCodeCamp/freeCodeCamp/pull/63672</t>
  </si>
  <si>
    <t>First Questions Basics</t>
  </si>
  <si>
    <t>es-a1-warm-up-first-questions-basics</t>
  </si>
  <si>
    <t>Meet Angela and Basti</t>
  </si>
  <si>
    <t>es-a1-learn-meet-angela-and-basti</t>
  </si>
  <si>
    <t>First Questions Practice</t>
  </si>
  <si>
    <t>es-a1-practice-first-questions</t>
  </si>
  <si>
    <t>First Questions Review</t>
  </si>
  <si>
    <t>es-a1-review-first-questions</t>
  </si>
  <si>
    <t>First Questions Quiz</t>
  </si>
  <si>
    <t>es-a1-quiz-first-questions</t>
  </si>
  <si>
    <t>Basic Personal Details</t>
  </si>
  <si>
    <t>es-a1-chapter-basic-personal-details</t>
  </si>
  <si>
    <t>Numbers 10 to 29</t>
  </si>
  <si>
    <t>es-a1-module-numbers-10-to-29</t>
  </si>
  <si>
    <t>https://github.com/freeCodeCamp/freeCodeCamp/pull/64080</t>
  </si>
  <si>
    <t>Remember First Numbers</t>
  </si>
  <si>
    <t>es-a1-warm-up-remember-first-numbers</t>
  </si>
  <si>
    <t>es-a1-learn-numbers-10-to-29</t>
  </si>
  <si>
    <t>Using Numbers 10 to 29</t>
  </si>
  <si>
    <t>es-a1-practice-using-numbers-10-to-29</t>
  </si>
  <si>
    <t>Numbers 10 to 29 Review</t>
  </si>
  <si>
    <t>es-a1-review-numbers-10-to-29</t>
  </si>
  <si>
    <t>Numbers 10 to 29 Quiz</t>
  </si>
  <si>
    <t>es-a1-quiz-numbers-10-to-29</t>
  </si>
  <si>
    <t>Sharing Your Personal Details</t>
  </si>
  <si>
    <t>es-a1-module-sharing-your-personal-details</t>
  </si>
  <si>
    <t>Getting Ready to Share Personal Details</t>
  </si>
  <si>
    <t>es-a1-warm-up-getting-ready-to-share-personal-details</t>
  </si>
  <si>
    <t>Basic Personal Information</t>
  </si>
  <si>
    <t>es-a1-learn-basic-personal-information</t>
  </si>
  <si>
    <t>Contact Information and Spelling</t>
  </si>
  <si>
    <t>es-a1-learn-contact-information-and-spelling</t>
  </si>
  <si>
    <t>Personal Details in Action</t>
  </si>
  <si>
    <t>es-a1-practice-personal-details-in-action</t>
  </si>
  <si>
    <t>Sharing Your Personal Details Review</t>
  </si>
  <si>
    <t>es-a1-review-sharing-your-personal-details</t>
  </si>
  <si>
    <t>Sharing Your Personal Details Quiz</t>
  </si>
  <si>
    <t>es-a1-quiz-sharing-your-personal-details</t>
  </si>
  <si>
    <t>Describing a Company and Its People</t>
  </si>
  <si>
    <t>es-a1-chapter-describing-company-and-people</t>
  </si>
  <si>
    <t>Numbers 30 to 100</t>
  </si>
  <si>
    <t>es-a1-module-numbers-30-to-100</t>
  </si>
  <si>
    <t>https://github.com/freeCodeCamp/freeCodeCamp/pull/65440</t>
  </si>
  <si>
    <t>Numbers 30 to 60</t>
  </si>
  <si>
    <t>es-a1-learn-numbers-30-to-60</t>
  </si>
  <si>
    <t>Numbers 61 to 100</t>
  </si>
  <si>
    <t>es-a1-learn-numbers-61-to-100</t>
  </si>
  <si>
    <t>Using The First 100 Numbers</t>
  </si>
  <si>
    <t>es-a1-practice-using-the-first-100-numbers</t>
  </si>
  <si>
    <t>First 100 Numbers Review</t>
  </si>
  <si>
    <t>es-a1-review-first-100-numbers</t>
  </si>
  <si>
    <t>Numbers 30 to 100 Quiz</t>
  </si>
  <si>
    <t>es-a1-quiz-numbers-30-to-100</t>
  </si>
  <si>
    <t>Describing a Company</t>
  </si>
  <si>
    <t>es-a1-module-describing-a-company</t>
  </si>
  <si>
    <t>Writing</t>
  </si>
  <si>
    <t>Describing a Company Basics</t>
  </si>
  <si>
    <t>es-a1-warm-up-describing-a-company-basics</t>
  </si>
  <si>
    <t>What the Company Does</t>
  </si>
  <si>
    <t>es-a1-learn-what-the-company-does</t>
  </si>
  <si>
    <t>Waiting</t>
  </si>
  <si>
    <t>What Departments Do</t>
  </si>
  <si>
    <t>es-a1-practice-what-departments-do</t>
  </si>
  <si>
    <t>Asking about a company</t>
  </si>
  <si>
    <t>es-a1-learn-asking-about-a-company</t>
  </si>
  <si>
    <t>Company profile</t>
  </si>
  <si>
    <t>es-a1-practice-company-profile</t>
  </si>
  <si>
    <t>Planning</t>
  </si>
  <si>
    <t>Talking About a Company</t>
  </si>
  <si>
    <t>es-a1-review-talking-about-a-company</t>
  </si>
  <si>
    <t>Describing a Company Quiz</t>
  </si>
  <si>
    <t>es-a1-quiz-describing-a-company</t>
  </si>
  <si>
    <t>Describing People at Work</t>
  </si>
  <si>
    <t>es-a1-module-describing-people-at-work</t>
  </si>
  <si>
    <t>https://github.com/freeCodeCamp/freeCodeCamp/pull/65795</t>
  </si>
  <si>
    <t>To Review</t>
  </si>
  <si>
    <t>Describing People at Work Basics</t>
  </si>
  <si>
    <t>es-a1-warm-up-describing-people-at-work-basics</t>
  </si>
  <si>
    <t xml:space="preserve">Mini Biographies </t>
  </si>
  <si>
    <t>es-a1-learn-mini-biographies</t>
  </si>
  <si>
    <t>Talking About Colleagues</t>
  </si>
  <si>
    <t>es-a1-learn-talking-about-colleagues</t>
  </si>
  <si>
    <t>Asking About Mini Biographies</t>
  </si>
  <si>
    <t>es-a1-practice-asking-about-mini-biographies</t>
  </si>
  <si>
    <t xml:space="preserve">Short Workplace Profile </t>
  </si>
  <si>
    <t>es-a1-learn-short-workplace-profile</t>
  </si>
  <si>
    <t>Asking About Short Workplace Profiles</t>
  </si>
  <si>
    <t>es-a1-practice-asking-about-short-workplace-profiles</t>
  </si>
  <si>
    <t>Describing People at Work Review</t>
  </si>
  <si>
    <t>es-a1-review-describing-people-at-work</t>
  </si>
  <si>
    <t>es-a1-quiz-describing-people-at-work</t>
  </si>
  <si>
    <t>Chapter  Basic Personal Details Objective</t>
  </si>
  <si>
    <t>By the end of this chapter, learners will be able to recognize, ask for, and provide personal information (such as name, surname, nationality, age, phone number, and email) using numbers 1–20 and the verbs llamarse, ser, and tener in the first and second person singular.</t>
  </si>
  <si>
    <t xml:space="preserve">Module 1 — Numbers from 10 to 29 
Module 2 — Sharing Your Personal Details
</t>
  </si>
  <si>
    <t xml:space="preserve">Module 1 </t>
  </si>
  <si>
    <t xml:space="preserve">Listening
By the end of this module, learners will be able to recognize numbers from 10 to 29 when spoken slowly in isolation or short sequences.
By the end of this module, learners will be able to complete a listening task in which they write numbers in the order they hear them.
Reading
By the end of this module, learners will be able to match written numbers with their corresponding digits in a multiple-choice or matching exercise.
</t>
  </si>
  <si>
    <t>Plan curricular                                                                Module 1</t>
  </si>
  <si>
    <t>Gramática</t>
  </si>
  <si>
    <t>Function</t>
  </si>
  <si>
    <t>Vocabulário Específico</t>
  </si>
  <si>
    <t>Nociones generales</t>
  </si>
  <si>
    <t>Nociones específicas</t>
  </si>
  <si>
    <t>Cardinal numbers 1–20
Review: tengo + number (for age)
No new conjugations introduced</t>
  </si>
  <si>
    <t>Identifying and recognizing numbers
Providing numerical information (age, phone digits) in controlled tasks
Completing simple forms requiring numerical data</t>
  </si>
  <si>
    <t xml:space="preserve">
números 0 to 29</t>
  </si>
  <si>
    <t>Cantidad numérica: números cardinales
Edad: número cardinal + “años” (input only)</t>
  </si>
  <si>
    <t>Datos personales: edad
Datos personales: número de teléfono</t>
  </si>
  <si>
    <t>Tácticas y estrategias pragmáticas</t>
  </si>
  <si>
    <t>Géneros discursivos y productos textuales</t>
  </si>
  <si>
    <t>Pronunciación y prosodia</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</si>
  <si>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</si>
  <si>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(None required — numbers are literal; no pragmatic strategies needed.)</t>
  </si>
  <si>
    <t>Formularios muy simples (personal data forms)
Listas (numbers in order)</t>
  </si>
  <si>
    <t>Teach explicitly:
Hyphen removal in compound numbers (dieciséis, diecisiete, etc.)
Accent marks: dieciséis
Lowercase number words in Spanish</t>
  </si>
  <si>
    <t>Teach explicitly:
Stress patterns in numbers: diece-SÉIS, diecio-CHO
Clear articulation of /s/ vs. /z/ depending on variety (neutral Latin American)</t>
  </si>
  <si>
    <t>Block type</t>
  </si>
  <si>
    <t>Block name</t>
  </si>
  <si>
    <t>Base Material</t>
  </si>
  <si>
    <t>Content planning</t>
  </si>
  <si>
    <t>Instructions/ notes</t>
  </si>
  <si>
    <r>
      <rPr>
        <rFont val="Arial"/>
        <b/>
        <color theme="1"/>
        <sz val="12.0"/>
      </rPr>
      <t xml:space="preserve">ES_A1_numbers-0-100
</t>
    </r>
    <r>
      <rPr>
        <rFont val="Arial"/>
        <b val="0"/>
        <color theme="1"/>
        <sz val="12.0"/>
      </rPr>
      <t>Review first numbers 0 to 9 Introduce other content if you judge necessary</t>
    </r>
  </si>
  <si>
    <t>Objective is to review the first numbers to give a nice structure for the following blocks.</t>
  </si>
  <si>
    <r>
      <rPr>
        <rFont val="Arial"/>
        <color theme="1"/>
        <sz val="12.0"/>
      </rPr>
      <t xml:space="preserve">Numbers 11 to 20 and any other audio you think is necessary
</t>
    </r>
    <r>
      <rPr>
        <rFont val="Arial"/>
        <b/>
        <color theme="1"/>
        <sz val="12.0"/>
      </rPr>
      <t>ES_A1_numbers-0-100</t>
    </r>
    <r>
      <rPr>
        <rFont val="Arial"/>
        <color theme="1"/>
        <sz val="12.0"/>
      </rPr>
      <t xml:space="preserve">
numbers 10 to 29</t>
    </r>
  </si>
  <si>
    <t xml:space="preserve">Objectives:
Recognize 11–20 when heard slowly
Match written numbers to digits
Identify 11–20 in simple tasks
Content:
Teach numbers 11–20
once, doce, trece, catorce, quince, dieciséis, diecisiete, dieciocho, diecinueve, veinte
Highlight spelling patterns (Mention veintiún)
Highlight accents where needed
Orthographic point:
dieciséis (accent)
</t>
  </si>
  <si>
    <r>
      <rPr>
        <rFont val="Arial"/>
        <color theme="1"/>
        <sz val="12.0"/>
      </rPr>
      <t xml:space="preserve">Numbers 1 to 20 and any other audio you think is necessary
</t>
    </r>
    <r>
      <rPr>
        <rFont val="Arial"/>
        <b/>
        <color theme="1"/>
        <sz val="12.0"/>
      </rPr>
      <t xml:space="preserve">ES_A1_numbers-0-100
</t>
    </r>
    <r>
      <rPr>
        <rFont val="Arial"/>
        <color theme="1"/>
        <sz val="12.0"/>
      </rPr>
      <t>uno, dos, tres, cuatro, cinco, seis, siete, ocho, nueve, diez, once, doce, trece, catorce, quince, dieciséis, diecisiete, dieciocho, diecinueve, veinte</t>
    </r>
  </si>
  <si>
    <t>Objectives:
Consolidate recognition of 1–20
Write numbers correctly after listening
Match, order, and identify numbers in various tasks
Activities may include for example number ordering for example:
Listening sequence:
“Escribe el número según el orden en que lo escuchas.”
Completing simple numeric fields (edad, número)
No sentences longer than 2–3 words.
Avoid introducing age grammar here.</t>
  </si>
  <si>
    <t>Grammar Highlights 
Glossary</t>
  </si>
  <si>
    <t>Grammar
Cardinal numbers 1–20
Accented forms:
dieciséis
No additional grammar
Glossary
Full list of numbers 1–20 in order
Additional small glossary if necessary</t>
  </si>
  <si>
    <t>Module Quiz</t>
  </si>
  <si>
    <t>The quiz block script requires either 10 or 20 questions. To pass, learners must score at least 90%.
By default, our placeholder quiz block has 10 questions, but you can change it to 20 if you prefer.</t>
  </si>
  <si>
    <t xml:space="preserve">Module 2 - Sharing Your Personal Details                                                             </t>
  </si>
  <si>
    <t>Listening
By the end of this module, learners will be able to recognize second-person questions about personal information (e.g., tu apellido, tu número, tu correo) when spoken slowly in short exchanges.
By the end of this module, learners will be able to identify the personal information being requested in simple listening tasks (name, surname, nationality, age, phone number, email).
Reading
By the end of this module, learners will be able to match second-person prompts (e.g., tu nombre, tu nacionalidad) with the correct information fields on a simple personal data form.
By the end of this module, learners will be able to understand short written prompts about personal data and choose correct first-person answers.
Writing
By the end of this module, learners will be able to complete a simple personal information form using first-person expressions (Me llamo…, Soy…, Tengo…, Mi correo es…, Mi número es…)</t>
  </si>
  <si>
    <t>Plan curricular                                                                Module 2</t>
  </si>
  <si>
    <r>
      <rPr>
        <rFont val="Arial"/>
        <b/>
        <color theme="1"/>
        <sz val="12.0"/>
      </rPr>
      <t>1. Second-person singular forms</t>
    </r>
    <r>
      <rPr>
        <rFont val="Arial"/>
        <color theme="1"/>
        <sz val="12.0"/>
      </rPr>
      <t xml:space="preserve">
te llamas
eres
tienes
(Chapter 2 showed these only inside questions; Module 2 teaches them as active forms learners can recognize and respond to.)
</t>
    </r>
    <r>
      <rPr>
        <rFont val="Arial"/>
        <b/>
        <color theme="1"/>
        <sz val="12.0"/>
      </rPr>
      <t>2. Possessive adjectives (essential for forms)</t>
    </r>
    <r>
      <rPr>
        <rFont val="Arial"/>
        <color theme="1"/>
        <sz val="12.0"/>
      </rPr>
      <t xml:space="preserve">
mi 
tu 
</t>
    </r>
    <r>
      <rPr>
        <rFont val="Arial"/>
        <b/>
        <color theme="1"/>
        <sz val="12.0"/>
      </rPr>
      <t>3. Email and number structures</t>
    </r>
    <r>
      <rPr>
        <rFont val="Arial"/>
        <color theme="1"/>
        <sz val="12.0"/>
      </rPr>
      <t xml:space="preserve">
Mi número es…
Mi correo es…
</t>
    </r>
    <r>
      <rPr>
        <rFont val="Arial"/>
        <b/>
        <color theme="1"/>
        <sz val="12.0"/>
      </rPr>
      <t>Review only (NOT taught again)</t>
    </r>
    <r>
      <rPr>
        <rFont val="Arial"/>
        <color theme="1"/>
        <sz val="12.0"/>
      </rPr>
      <t xml:space="preserve">
me llamo
soy
tengo
</t>
    </r>
    <r>
      <rPr>
        <rFont val="Arial"/>
        <b/>
        <color theme="1"/>
        <sz val="12.0"/>
      </rPr>
      <t>Not included yet</t>
    </r>
    <r>
      <rPr>
        <rFont val="Arial"/>
        <color theme="1"/>
        <sz val="12.0"/>
      </rPr>
      <t xml:space="preserve">
Él / Ella  saved for Chapter 4 
Su / sus saved for Chapter 4</t>
    </r>
  </si>
  <si>
    <t>Asking for personal information using tú.
Giving personal information using yo.
Completing personal data forms.
Providing phone numbers and email addresses in simple formats.</t>
  </si>
  <si>
    <t>Key Vocabulary (Personal Data)
 Identity: nombre, apellido 
Age: edad
Nationality &amp; Country: nacionalidad, país, ciudad
Profession: profesión
Contact Info: correo electrónico, número de teléfono, móvil
Other Data Words: formulario, datos personales
Professions used in forms and profiles according to the monologues / dialogues:
Contact terms:
arroba (@), punto (.), número
questions:
Cuál</t>
  </si>
  <si>
    <t>dentidad personal (nombre, apellido)
Datos de contacto (número, correo)
Origen (nacionalidad, país)
Edad (número + años)</t>
  </si>
  <si>
    <t>Datos personales nombre
Datos personales apellido
Datos personales nacionalidad
Datos personales edad
Datos personales profesión
Datos personales correo, número</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</si>
  <si>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</si>
  <si>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Asking for clarification: ¿Tu apellido? ¿Tu número?
Ellipsis: omitting tú in everyday questions
¿Cómo te llamas? (instead of ¿Cómo tú te llamas?)
Confirming details: ¿Tu correo es…?</t>
  </si>
  <si>
    <t>Personal data forms (formularios)
Brief personal profiles (profiles for HR)
Mini onboarding dialogues</t>
  </si>
  <si>
    <t>Teach explicitly:
(Review) Capitalization of names, surnames, countries, nationalities
Accent marks: teléfono, número, país
Email writing conventions: arroba, punto
Review
Gender adjustments for nationalities (colombiano/colombiana)</t>
  </si>
  <si>
    <t>Rhythm of phone numbers (pausing after 2–3 digits)
Pronunciation of email components</t>
  </si>
  <si>
    <t>Personal data conventions in Latin America
Optional: two-surname system (input only)</t>
  </si>
  <si>
    <r>
      <rPr>
        <rFont val="Arial"/>
        <color theme="1"/>
        <sz val="12.0"/>
      </rPr>
      <t xml:space="preserve">One audio with the alphabet suggested: </t>
    </r>
    <r>
      <rPr>
        <rFont val="Arial"/>
        <b/>
        <color theme="1"/>
        <sz val="12.0"/>
      </rPr>
      <t>ES_A1_alphabet.mp3</t>
    </r>
    <r>
      <rPr>
        <rFont val="Arial"/>
        <color theme="1"/>
        <sz val="12.0"/>
      </rPr>
      <t xml:space="preserve">
</t>
    </r>
    <r>
      <rPr>
        <rFont val="Arial"/>
        <b/>
        <color theme="1"/>
        <sz val="12.0"/>
      </rPr>
      <t xml:space="preserve">
ES_A1_numbers-0-9
ES_A1_personal-details-vocabulary</t>
    </r>
    <r>
      <rPr>
        <rFont val="Arial"/>
        <color theme="1"/>
        <sz val="12.0"/>
      </rPr>
      <t xml:space="preserve">
Nombre, apellido, Primer apellido, Segundo apellido, apodo, Nacionalidad, Profesión, Correo electrónico, Número de teléfono</t>
    </r>
  </si>
  <si>
    <t>Write your planning for this block here. Check the the Curricular plan below to check what's expected from this module. Do the same to the following rows</t>
  </si>
  <si>
    <t>Activate prior knowledge from Chapter 1 (alphabet) and Module 1 (numbers 1–10).
Present a short vocabulary list with personal data terms that will appear in the Learn blocks.
Do not introduce new grammar.
Keep exposure brief and focused.</t>
  </si>
  <si>
    <r>
      <rPr>
        <rFont val="Arial"/>
        <b/>
        <color theme="1"/>
        <sz val="12.0"/>
      </rPr>
      <t>ES_A1_esteban-personal-records-dialogue-with-angela
Intro (Not to record)</t>
    </r>
    <r>
      <rPr>
        <rFont val="Arial"/>
        <color theme="1"/>
        <sz val="12.0"/>
      </rPr>
      <t xml:space="preserve">
Esteban visits the Human Resources office at Andes Commerce to update his personal information for the company records. Ángela, the HR representative, asks him basic questions to complete the form.
</t>
    </r>
    <r>
      <rPr>
        <rFont val="Arial"/>
        <b/>
        <color theme="1"/>
        <sz val="12.0"/>
      </rPr>
      <t xml:space="preserve">Dialogue (to record)
</t>
    </r>
    <r>
      <rPr>
        <rFont val="Arial"/>
        <color theme="1"/>
        <sz val="12.0"/>
      </rPr>
      <t xml:space="preserve">Ángela: Hola, buenas tardes. Gracias por venir. ¿Cuál es tu nombre y apellido?
Esteban: Me llamo Esteban Navarro Huamán.
Ángela: ¿Navarro con dos erres?
Esteban: Sí, con dos erres.
Ángela: ¿Y Huamán? ¿Cómo se escribe?
Esteban: H-U-A-M-A-N, con acento en la última a.
Ángela: Perfecto. Entonces, Esteban Navarro Huamán. ¿Cuál es tu nacionalidad?
Esteban: Soy peruano.
Ángela: Ah, de Perú. Muy bien. ¿Y tu profesión?
Esteban: Soy desarrollador web.
Ángela: Gracias, Esteban. Todo listo por hoy.
Esteban: Gracias, Ángela. Hasta luego.
</t>
    </r>
    <r>
      <rPr>
        <rFont val="Arial"/>
        <b/>
        <color theme="1"/>
        <sz val="12.0"/>
      </rPr>
      <t>ES_A1_mateo-email-dialogue-with-camila</t>
    </r>
    <r>
      <rPr>
        <rFont val="Arial"/>
        <color theme="1"/>
        <sz val="12.0"/>
      </rPr>
      <t xml:space="preserve">
Camila: Hola, Mateo. ¿Cuál es tu correo electrónico?
Mateo: Mi correo es mateo.delgado@sanjuan.pr. ¿Quieres que te lo deletree?
Camila: Sí, por favor.
Mateo: 
Es 
m - a - t - e - o 
punto 
d - e - l - g - a - d - o 
arroba 
s - a - n - j - u - a - n 
punto 
p - r.
Camila: ¿sanjuan.pr?
Mateo: Sí, correcto.
Camila: Perfecto. Muchas gracias.
Mateo: ¡De nada!</t>
    </r>
  </si>
  <si>
    <r>
      <rPr>
        <rFont val="Arial"/>
        <color theme="1"/>
        <sz val="12.0"/>
      </rPr>
      <t xml:space="preserve">
</t>
    </r>
    <r>
      <rPr>
        <rFont val="Arial"/>
        <b/>
        <color theme="1"/>
        <sz val="12.0"/>
      </rPr>
      <t>Description: --</t>
    </r>
    <r>
      <rPr>
        <rFont val="Arial"/>
        <color theme="1"/>
        <sz val="12.0"/>
      </rPr>
      <t>Esteban visits the Human Resources office at Andes Commerce to update his personal information for the company records. Ángela, the HR representative, asks him basic questions to complete the form.--</t>
    </r>
  </si>
  <si>
    <r>
      <rPr>
        <rFont val="Arial"/>
        <color theme="1"/>
        <sz val="12.0"/>
      </rPr>
      <t xml:space="preserve">Dialogue ES_A1_esteban-angela-update-personal-records is perfect to introduce vocab numbre and apellido, review alphabet (chapter 1), content from chapter 2 and some particular cases as double erres. If a sentence is new (like todo listo por hoy) make sure to teach it. Make sure to explain questions starting with Cuál, and similar questions where Cuál is omited but the meaning is there. You chould also teach the word "Como". Make sure to teach key vocab related to email and phone numbers as "te lo deletree" and so on.
ES_A1_contact-info-dialogue-camila-mateo is perfect to reinforce spelling while introducing numbers, and sentences to confirm information. Take your time with these number tasks. 
Grammar wise, remember that this module introduces much of the conjugation of Tú, while review Yo. But the main focus is second person. 
</t>
    </r>
    <r>
      <rPr>
        <rFont val="Arial"/>
        <b/>
        <color theme="1"/>
        <sz val="12.0"/>
      </rPr>
      <t>This block has to be planned alongside the following learn block</t>
    </r>
  </si>
  <si>
    <r>
      <rPr>
        <rFont val="Arial"/>
        <b/>
        <color theme="1"/>
        <sz val="12.0"/>
      </rPr>
      <t xml:space="preserve">ES_A1_mateo-camila-phone-number-dialogue
</t>
    </r>
    <r>
      <rPr>
        <rFont val="Arial"/>
        <color theme="1"/>
        <sz val="12.0"/>
      </rPr>
      <t xml:space="preserve">Mateo: Hola, Camila. ¿Cuál es tu número de teléfono?
Camila: Mi número es +57 313 445 9280.
Mateo: ¿Puedes repetirlo?
Camila: Claro, es +57 313 445 9280.
Mateo: Gracias.
Camila: ¿Y el tuyo, Mateo?
Mateo: Es 213 554 0028.
Camila: ¿Otra vez, por favor?
Mateo: 213 554 0028.
</t>
    </r>
    <r>
      <rPr>
        <rFont val="Arial"/>
        <b/>
        <color theme="1"/>
        <sz val="12.0"/>
      </rPr>
      <t xml:space="preserve">ES_A1_basti-personal-details
</t>
    </r>
    <r>
      <rPr>
        <rFont val="Arial"/>
        <color theme="1"/>
        <sz val="12.0"/>
      </rPr>
      <t xml:space="preserve">
</t>
    </r>
    <r>
      <rPr>
        <rFont val="Arial"/>
        <b/>
        <color theme="1"/>
        <sz val="12.0"/>
      </rPr>
      <t xml:space="preserve">Intro (not to record)
</t>
    </r>
    <r>
      <rPr>
        <rFont val="Arial"/>
        <color theme="1"/>
        <sz val="12.0"/>
      </rPr>
      <t xml:space="preserve">Basti is on a call confirming his personal details. In this audio you listen to his side of the conversation.
</t>
    </r>
    <r>
      <rPr>
        <rFont val="Arial"/>
        <b/>
        <color theme="1"/>
        <sz val="12.0"/>
      </rPr>
      <t>To record</t>
    </r>
    <r>
      <rPr>
        <rFont val="Arial"/>
        <color theme="1"/>
        <sz val="12.0"/>
      </rPr>
      <t xml:space="preserve">
Hola, buenas noches.
Me llamo Sebastián Ávila Gómez.
Sebastián se escribe s-e-b-a-s-t-i-á-n, con acento en la última a.
¿Puedo usar mi apodo?
Mi apodo es Basti. Se escribe B-a-s-t-i.
Sí, Gómez termina en z.
Soy guatemalteco y soy analista junior.
Mi correo completo es basti.ag@quetzal.gt
El usuario es b-a-s-t-i punto a-g.
El dominio es q-u-e-t-z-a-l punto g-t.
Y mi número es +502 4489 2201.
Sí, correcto. Gracias.</t>
    </r>
  </si>
  <si>
    <t xml:space="preserve">ES_A1_basti-personal-details continues from the previous learn block, I've only separated it to avoid making the first learn block too long. make sure to plan this together with the previous block. </t>
  </si>
  <si>
    <r>
      <rPr>
        <rFont val="Arial"/>
        <b/>
        <color theme="1"/>
        <sz val="12.0"/>
      </rPr>
      <t>ES_A1_personal-details-just-questions</t>
    </r>
    <r>
      <rPr>
        <rFont val="Arial"/>
        <color theme="1"/>
        <sz val="12.0"/>
      </rPr>
      <t xml:space="preserve">
¿Cuál es tu nombre?; 
¿Cuál es tu apellido?; 
¿Cuál es tu primer apellido?; 
¿Cuál es tu segundo apellido?; 
¿Cuál es tu nombre y apellido?; 
¿Cuál es tu apodo?; 
¿Cuál es tu nacionalidad?; 
¿Cuál es tu profesion?;
¿Cuál es tu número de teléfono?; 
¿Cuál es tu correo electrónico?
¿Cómo se escribe? 
¿Cómo te llamas?
¿Cómo se deletrea?  
¿Quieres que te lo deletree?
¿ Puedes repetirlo, por favor?, 
¿ Puedes repetirlo? 
¿Otra vez, por favor?
ES_A1_all-special-characters
</t>
    </r>
    <r>
      <rPr>
        <rFont val="Arial"/>
        <b/>
        <color theme="1"/>
        <sz val="12.0"/>
      </rPr>
      <t>ES_A1_julieta-personal-details</t>
    </r>
    <r>
      <rPr>
        <rFont val="Arial"/>
        <color theme="1"/>
        <sz val="12.0"/>
      </rPr>
      <t xml:space="preserve">
</t>
    </r>
    <r>
      <rPr>
        <rFont val="Arial"/>
        <b/>
        <color theme="1"/>
        <sz val="12.0"/>
      </rPr>
      <t xml:space="preserve">Intro (not to record)
</t>
    </r>
    <r>
      <rPr>
        <rFont val="Arial"/>
        <color theme="1"/>
        <sz val="12.0"/>
      </rPr>
      <t xml:space="preserve">Julieta is in a call confirming his personal details. In this audio you listen to her side of the conversation.
</t>
    </r>
    <r>
      <rPr>
        <rFont val="Arial"/>
        <b/>
        <color theme="1"/>
        <sz val="12.0"/>
      </rPr>
      <t>To record</t>
    </r>
    <r>
      <rPr>
        <rFont val="Arial"/>
        <color theme="1"/>
        <sz val="12.0"/>
      </rPr>
      <t xml:space="preserve">
Hola, sí, buenos días.
Me llamo Julieta Cáceres López.
Cáceres lleva acento en la primera a.
López también tiene acento en la o , y termina en z.
Mi correo es julieta.caceres@andes.com.
Repito: j-u-l-i-e-t-a punto c-a-c-e-r-e-s arroba a-n-d-e-s punto com.
Sí, correcto.
Soy uruguaya y soy estratega de marketing.
Y mi número es +598 94 227 495.
Sí, ese mismo.
De acuerdo, perfecto. Muchas gracias.
Hasta luego.
</t>
    </r>
    <r>
      <rPr>
        <rFont val="Arial"/>
        <b/>
        <color theme="1"/>
        <sz val="12.0"/>
      </rPr>
      <t>Reading practice
Formulario de datos personales</t>
    </r>
    <r>
      <rPr>
        <rFont val="Arial"/>
        <color theme="1"/>
        <sz val="12.0"/>
      </rPr>
      <t xml:space="preserve">
</t>
    </r>
    <r>
      <rPr>
        <rFont val="Arial"/>
        <b/>
        <color theme="1"/>
        <sz val="12.0"/>
      </rPr>
      <t xml:space="preserve">ES_A1_luna-personal-data-form
</t>
    </r>
    <r>
      <rPr>
        <rFont val="Arial"/>
        <color theme="1"/>
        <sz val="12.0"/>
      </rPr>
      <t xml:space="preserve">
Nombre: Luna
Primer apellido: Méndez
Segundo apellido: Pérez
Nacionalidad: chilena
Profesión: científica de datos
Correo electrónico: luna.mendez@andes.com
Número de teléfono: +56 923 881 240
Edad: 25</t>
    </r>
  </si>
  <si>
    <t>I wasn't sure how you two would like to proceed with the practice block, so I've prepared some audio with questions. A text from Julieta using the same structure as Basti and a profile form from Luna. Feel free to explore how you can use these in practice. For example, you could combine ES_A1_luna-personal-data-form text wit some questions from ES_A1_personal-details-just-questions, and ask learner to find the information the audio is asking on the form. There are endless possibilities here. =)</t>
  </si>
  <si>
    <t>Chapter Spanish Fundamentals Objective</t>
  </si>
  <si>
    <t>By the end of this Chapter, learners will be able to identify and differentiate spanish Alphabet letters</t>
  </si>
  <si>
    <t>List the modules inside the chapter here</t>
  </si>
  <si>
    <t>Module 1 The alphabet, accents, and punctuation</t>
  </si>
  <si>
    <t>- Vowels: By the end of this module learners will be able to identify the five vowels in spanish and differentiate their sounds.
- Consonants: By the end of this module learners will be able to identify the consonants and differentiate their sounds. 
- Consonants: By the end of the module, learners will be able to type special ñ
- Punctuation: By the end of this module, learners will be able to correctly type the opening of signo de interrogación and signo de exclamación ¿? ¡!</t>
  </si>
  <si>
    <t>List of grammar to focus on this lesson</t>
  </si>
  <si>
    <t xml:space="preserve">list of functions to be covered	   </t>
  </si>
  <si>
    <t>List of specific vocab</t>
  </si>
  <si>
    <t>List here the general field you are teaching based on the reference material</t>
  </si>
  <si>
    <t>List here the specific notions you are teaching based on the reference material</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</si>
  <si>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</si>
  <si>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If you are not covering this topic leave it empty</t>
  </si>
  <si>
    <t>If you are teaching writing you should pay extra attentio to this section. If you are not covering this topic leave it empty</t>
  </si>
  <si>
    <t>If you are teaching ortography list it here. If not leave it empty</t>
  </si>
  <si>
    <t>If you are teaching pronunciation list it here. If not leave it empty</t>
  </si>
  <si>
    <t>Make sure you have audio needed on the CDN (Or that you'll record them)</t>
  </si>
  <si>
    <t>There can be more than one Learn block. It will depend on how long and complex is your base material. 
Paste the base material (dialogue or monologue) to be covered in this learning section</t>
  </si>
  <si>
    <r>
      <rPr>
        <rFont val="Arial"/>
        <color theme="1"/>
        <sz val="12.0"/>
      </rPr>
      <t xml:space="preserve">Numbers 0 to 10 and any other audio you think is necessary
</t>
    </r>
    <r>
      <rPr>
        <rFont val="Arial"/>
        <b/>
        <color theme="1"/>
        <sz val="12.0"/>
      </rPr>
      <t>ES_A1_numbers-0-100</t>
    </r>
    <r>
      <rPr>
        <rFont val="Arial"/>
        <color theme="1"/>
        <sz val="12.0"/>
      </rPr>
      <t xml:space="preserve">
zero, uno, dos, tres, cuatro, cinco, seis, siete, ocho, nueve, diez</t>
    </r>
  </si>
  <si>
    <t xml:space="preserve">Objectives:
Recognize 1–10 when heard slowly
Match written numbers to digits
Identify numbers
Content:
Teach numbers 1–10 individually
uno, dos, tres, cuatro, cinco, seis, siete, ocho, nueve, diez
Each number is taught with:
written form
digit form
a simple example sentence (optional, single-word preferred)
No inflection, no gender
No verb instruction
</t>
  </si>
  <si>
    <t>Chapter Greetings and Introductions Objective</t>
  </si>
  <si>
    <t>By the end of this Chapter, learners will be able to greet others, introduce themselves, and exchange basic personal information (such as name, nationality, and where they are from) using simple expressions in Spanish.</t>
  </si>
  <si>
    <t>Module 1: Greetings and farewells (Hola, buenos días, adiós…)
Module 2: Introducing yourself (Me llamo…, Soy de…, Tengo … años)
Module 3: Asking and giving basic personal information (¿Cómo te llamas?, ¿De dónde eres?, ¿Qué haces?)</t>
  </si>
  <si>
    <t>Module 1 Greetings and Farewells</t>
  </si>
  <si>
    <t xml:space="preserve">"By the end of this module, learners will be able to greet others, introduce themselves with name and profession, and say goodbye using simple expressions in Spanish.
Listening
By the end of the module, learners will be able to identify common greetings, introductions (Me llamo… / Soy…), and farewells when spoken slowly in short monologues.
Reading
By the end of the module, learners will be able to match 5 greetings and farewells with their English meanings in a multiple-choice or matching exercise.
Writing
By the end of the module, learners will be able to complete a short self-introduction text (monologue) with missing words, choosing correctly from a provided word list (including distractors)."								                                                           </t>
  </si>
  <si>
    <r>
      <rPr>
        <rFont val="Arial"/>
        <color theme="1"/>
        <sz val="12.0"/>
      </rPr>
      <t xml:space="preserve">"Grammar to cover explicitly in Module 1
Names without article: Soy Elena. Me llamo Camila.
Time of day nouns (greetings): Buenos días. Buenas tardes. Buenas noches.
Verb ser (present, 1st person singular): Soy Camila. Soy analista.
Simple affirmative sentences: Me llamo Esteban. Soy diseñadora.
</t>
    </r>
    <r>
      <rPr>
        <rFont val="Arial"/>
        <b/>
        <color theme="1"/>
        <sz val="12.0"/>
      </rPr>
      <t xml:space="preserve">
Grammar present but not taught yet (exposure only)
</t>
    </r>
    <r>
      <rPr>
        <rFont val="Arial"/>
        <color theme="1"/>
        <sz val="12.0"/>
      </rPr>
      <t xml:space="preserve">
Gender of nouns (-o / -a): diseñador / diseñadora
Use and omission of the article: Soy diseñadora
Subject pronouns and omission: Soy Elena (without yo)"</t>
    </r>
  </si>
  <si>
    <t xml:space="preserve">"Identificar
Dar información (datos personales: nombre, profesión)
Expresar certeza (con enunciados declarativos)"	</t>
  </si>
  <si>
    <t xml:space="preserve">Diseñadora, analista, desarrollador	    </t>
  </si>
  <si>
    <t xml:space="preserve">"Cualidad general: ser - Soy Camila. Soy analista.
Referencias generales de nociones temporales: día, tarde, noche, mañana, pronto"	</t>
  </si>
  <si>
    <t xml:space="preserve">"Datos personales: Nombre (nombre, apellido, llamarse)
Datos personales: Profesión (Soy analista, Soy diseñadora, Soy desarrollador)
Profesiones y cargos (basic jobs)"	</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</si>
  <si>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</si>
  <si>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Mantenimiento del referente e hilo discursivo: Sustitución por Ø (subject ellipsis in Soy Elena instead of Yo soy Elena)</t>
  </si>
  <si>
    <t xml:space="preserve">Notas muy breves y sencillas (escritas)	     </t>
  </si>
  <si>
    <t>Teach explicitly:
Capitalization at the beginning of sentences.
Capitalization of names.
Expose only:
Accent marks (días, adiós).
ll in llamo.</t>
  </si>
  <si>
    <t xml:space="preserve">Not covered	</t>
  </si>
  <si>
    <t>not covered</t>
  </si>
  <si>
    <t>Greetings
Hola – Hello
Buenos días – Good morning
Buenas tardes – Good afternoon
Buenas noches – Good evening / Good night
Introductions
Me llamo… – My name is…
Soy… – I am…
Professions
diseñadora, analista, desarrollador
Farewells
Adiós – Goodbye
 chao – Bye
Hasta luego – See you later
Hasta mañana – See you tomorrow
Hasta pronto – See you soon</t>
  </si>
  <si>
    <t>Write your planning for this block here. Check the the Curricular plan below to check what's expected from this module</t>
  </si>
  <si>
    <t xml:space="preserve">Lesson 1 Monologues with Professions
Monologue 1 Morning
Hola, buenos días.
Me llamo Elena. Soy diseñadora.
Hasta luego. Adiós.
Monologue 2 Afternoon
Hola, buenas tardes.
Soy Camila. Soy analista.
Adiós. Hasta pronto.
Monologue 3 Night
Hola, buenas noches.
Me llamo Esteban. Soy desarrollador.
Hasta mañana. Chao. </t>
  </si>
  <si>
    <t>All 3 monologues and
Writing Practice 
Camila is introducing herself at work in the afternoon. Complete her introduction with the correct words.
___, buenas ___.
___ Camila. ___ analista.
Hasta ___, ___.
Word options (with distractors) : Hola – Me llamo – Soy – Adiós – luego – mañana – noches – pronto
Correct answer:
Writing practice 1
Hola, buenas tardes.
Me llamo Camila. Soy analista.
Hasta luego, Adiós.</t>
  </si>
  <si>
    <t>Make sure to also include speaking tasks even if we still don't have them available.</t>
  </si>
  <si>
    <t>Module 2 – Introducing Yourself Objectives                                                                RAFAEL</t>
  </si>
  <si>
    <t xml:space="preserve">"Main Objective
By the end of this module, learners will be able to introduce themselves with name, profession, nationality, and age using simple expressions in Spanish.
Listening
By the end of the Module, learners will be able to identify introductions that include name, profession, nationality, and age when spoken slowly in short monologues.
Reading
By the end of the module, learners will be able to match written sentences of self-introduction (name, profession, nationality, age) with their English meanings in a multiple-choice or matching exercise.
Writing
By the end of the module, learners will be able to complete a short self-introduction text (monologue) with missing words (name, profession, nationality, age) by selecting the correct items from a word list (including distractors)."                                                                </t>
  </si>
  <si>
    <t>Plan curricular                                                                Module 2 - Rafael</t>
  </si>
  <si>
    <r>
      <rPr>
        <rFont val="Arial"/>
        <b/>
        <color theme="1"/>
        <sz val="12.0"/>
      </rPr>
      <t xml:space="preserve">Grammar to cover explicitly
</t>
    </r>
    <r>
      <rPr>
        <rFont val="Arial"/>
        <color theme="1"/>
        <sz val="12.0"/>
      </rPr>
      <t xml:space="preserve">ser with profession and nationality.
tener with numbers to express age.
Simple affirmative sentences (SVO order).
Subject–attribute agreement (chileno/chilena, uruguayo/uruguaya).
Numbers (cardinals for age).
</t>
    </r>
    <r>
      <rPr>
        <rFont val="Arial"/>
        <b/>
        <color theme="1"/>
        <sz val="12.0"/>
      </rPr>
      <t>Grammar present but not taught yet (exposure only)</t>
    </r>
    <r>
      <rPr>
        <rFont val="Arial"/>
        <color theme="1"/>
        <sz val="12.0"/>
      </rPr>
      <t xml:space="preserve">
Género en nacionalidades (chileno/chilena, puertorriqueño/puertorriqueña)
Plural de años (Tengo 28 años → plural not explained)</t>
    </r>
  </si>
  <si>
    <t>Identificar: nombre, profesión, nacionalidad
Dar información: datos personales (edad, nacionalidad)
Expresar certeza: enunciados declarativos</t>
  </si>
  <si>
    <t>Científica de datos – Data Scientist
Ingeniero de software – Software Engineer
Estratega de marketing – Marketing Strategist</t>
  </si>
  <si>
    <t>Profesion: ser + profesion
Example: Soy Ingeniero de Software. Soy cientifica de datos.
Origen: ser + nacionalidad
Example: Soy chilena. Soy uruguaya.
Edad, vejez: tener + número cardinal ~ años
Example: Tengo 28 años.
Cantidad numérica: números cardinales
Example: veinticinco, treinta, treinta y seis</t>
  </si>
  <si>
    <t>Datos personales: nombre
Datos personales: profesión
Datos personales: nacionalidad
Datos personales: edad</t>
  </si>
  <si>
    <r>
      <rPr>
        <b/>
        <color rgb="FF1155CC"/>
        <sz val="12.0"/>
        <u/>
      </rPr>
      <t>Cultura</t>
    </r>
    <r>
      <rPr>
        <b/>
        <sz val="12.0"/>
      </rPr>
      <t xml:space="preserve">, </t>
    </r>
    <r>
      <rPr>
        <b/>
        <color rgb="FF1155CC"/>
        <sz val="12.0"/>
        <u/>
      </rPr>
      <t xml:space="preserve">saberes </t>
    </r>
    <r>
      <rPr>
        <b/>
        <sz val="12.0"/>
      </rPr>
      <t>y comportamientos</t>
    </r>
  </si>
  <si>
    <t>Mantenimiento del referente e hilo discursivo: Sustitución por Ø (Soy chilena instead of Yo soy chilena)</t>
  </si>
  <si>
    <t>Conversaciones cara a cara, muy breves e informales, sobre personas (adapted here as short monologues of self-introduction)</t>
  </si>
  <si>
    <t>Ortografía to cover explicitly in Module 2
Mayúscula en nombres y nacionalidades (Luna, Chilena, Uruguaya, Puertorriqueño)
Uso de tilde en palabras comunes (años, científica, puertorriqueño)</t>
  </si>
  <si>
    <t>Instructions</t>
  </si>
  <si>
    <t>Professions
Científica de datos 
Ingeniero de software 
Estratega de marketing 
Nationalities
chilena
puertorriqueño 
uruguaya
Numbers (for age)
veinte – twenty
veinticinco – twenty-five
veintiocho – twenty-eight
treinta – thirty
treinta y seis – thirty-six</t>
  </si>
  <si>
    <t>Warm-up (multiple choice tasks)
Profession
- Científica de datos
- Ingeniero de software
- Estratega de marketing
Nationality
- Chilena
- Puertorriqueño
- Uruguaya
Number (age)
- 28 años
- 25 años 
- 36 años</t>
  </si>
  <si>
    <r>
      <rPr>
        <rFont val="Arial"/>
        <b/>
        <color theme="1"/>
        <sz val="12.0"/>
      </rPr>
      <t xml:space="preserve">Meet  Luna 
</t>
    </r>
    <r>
      <rPr>
        <rFont val="Arial"/>
        <color theme="1"/>
        <sz val="12.0"/>
      </rPr>
      <t xml:space="preserve">
Hola, buenos días.
Me llamo Luna. Soy científica de datos.
Soy chilena. Tengo veintiocho años.
Hasta luego. Adiós.</t>
    </r>
  </si>
  <si>
    <r>
      <rPr>
        <rFont val="Arial"/>
        <color theme="1"/>
        <sz val="12.0"/>
      </rPr>
      <t xml:space="preserve">Warm-up (multiple choice tasks)
Using `ser` + profession
- </t>
    </r>
    <r>
      <rPr>
        <rFont val="Arial"/>
        <b/>
        <color theme="1"/>
        <sz val="12.0"/>
      </rPr>
      <t>Soy</t>
    </r>
    <r>
      <rPr>
        <rFont val="Arial"/>
        <color theme="1"/>
        <sz val="12.0"/>
      </rPr>
      <t xml:space="preserve"> cientifica de datos
Using `ser` + nationality
- </t>
    </r>
    <r>
      <rPr>
        <rFont val="Arial"/>
        <b/>
        <color theme="1"/>
        <sz val="12.0"/>
      </rPr>
      <t>Soy</t>
    </r>
    <r>
      <rPr>
        <rFont val="Arial"/>
        <color theme="1"/>
        <sz val="12.0"/>
      </rPr>
      <t xml:space="preserve"> Chilena
Using `tener` + number (age)
- </t>
    </r>
    <r>
      <rPr>
        <rFont val="Arial"/>
        <b/>
        <color theme="1"/>
        <sz val="12.0"/>
      </rPr>
      <t>Tengo</t>
    </r>
    <r>
      <rPr>
        <rFont val="Arial"/>
        <color theme="1"/>
        <sz val="12.0"/>
      </rPr>
      <t xml:space="preserve"> 28 años
</t>
    </r>
  </si>
  <si>
    <r>
      <rPr>
        <rFont val="Arial"/>
        <b/>
        <color theme="1"/>
        <sz val="12.0"/>
      </rPr>
      <t xml:space="preserve">Meet Mateo
</t>
    </r>
    <r>
      <rPr>
        <rFont val="Arial"/>
        <color theme="1"/>
        <sz val="12.0"/>
      </rPr>
      <t>Hola, buenas tardes.
Soy Mateo. Soy ingeniero de software.
Soy puertorriqueño. Tengo veinticinco años.
Adiós. Hasta pronto.</t>
    </r>
  </si>
  <si>
    <r>
      <rPr>
        <rFont val="Arial"/>
        <color theme="1"/>
        <sz val="12.0"/>
      </rPr>
      <t xml:space="preserve">Warm-up (multiple choice tasks)
Using `ser` + profession
- </t>
    </r>
    <r>
      <rPr>
        <rFont val="Arial"/>
        <b/>
        <color theme="1"/>
        <sz val="12.0"/>
      </rPr>
      <t>Soy</t>
    </r>
    <r>
      <rPr>
        <rFont val="Arial"/>
        <color theme="1"/>
        <sz val="12.0"/>
      </rPr>
      <t xml:space="preserve"> ingeniero de software
Using `ser` + nationality
- </t>
    </r>
    <r>
      <rPr>
        <rFont val="Arial"/>
        <b/>
        <color theme="1"/>
        <sz val="12.0"/>
      </rPr>
      <t>Soy</t>
    </r>
    <r>
      <rPr>
        <rFont val="Arial"/>
        <color theme="1"/>
        <sz val="12.0"/>
      </rPr>
      <t xml:space="preserve"> puertorriqueño
Using `tener` + number (age)
- </t>
    </r>
    <r>
      <rPr>
        <rFont val="Arial"/>
        <b/>
        <color theme="1"/>
        <sz val="12.0"/>
      </rPr>
      <t>Tengo</t>
    </r>
    <r>
      <rPr>
        <rFont val="Arial"/>
        <color theme="1"/>
        <sz val="12.0"/>
      </rPr>
      <t xml:space="preserve"> 25 años </t>
    </r>
  </si>
  <si>
    <r>
      <rPr>
        <rFont val="Arial"/>
        <b/>
        <color theme="1"/>
        <sz val="12.0"/>
      </rPr>
      <t xml:space="preserve">Meet Julieta  
</t>
    </r>
    <r>
      <rPr>
        <rFont val="Arial"/>
        <color theme="1"/>
        <sz val="12.0"/>
      </rPr>
      <t xml:space="preserve">
Hola, buenas noches.
Chile
Soy uruguaya. Tengo treinta y seis años.
Hasta mañana. Chau."                </t>
    </r>
  </si>
  <si>
    <r>
      <rPr>
        <rFont val="Arial"/>
        <color theme="1"/>
        <sz val="12.0"/>
      </rPr>
      <t xml:space="preserve">Warm-up (multiple choice tasks)
Using `ser` + profession
- </t>
    </r>
    <r>
      <rPr>
        <rFont val="Arial"/>
        <b/>
        <color theme="1"/>
        <sz val="12.0"/>
      </rPr>
      <t>Soy</t>
    </r>
    <r>
      <rPr>
        <rFont val="Arial"/>
        <color theme="1"/>
        <sz val="12.0"/>
      </rPr>
      <t xml:space="preserve"> estratega de marketing
Using `ser` + nationality
- </t>
    </r>
    <r>
      <rPr>
        <rFont val="Arial"/>
        <b/>
        <color theme="1"/>
        <sz val="12.0"/>
      </rPr>
      <t>Soy</t>
    </r>
    <r>
      <rPr>
        <rFont val="Arial"/>
        <color theme="1"/>
        <sz val="12.0"/>
      </rPr>
      <t xml:space="preserve"> uruguaya
Using `tener` + number (age)
- </t>
    </r>
    <r>
      <rPr>
        <rFont val="Arial"/>
        <b/>
        <color theme="1"/>
        <sz val="12.0"/>
      </rPr>
      <t>Tengo</t>
    </r>
    <r>
      <rPr>
        <rFont val="Arial"/>
        <color theme="1"/>
        <sz val="12.0"/>
      </rPr>
      <t xml:space="preserve"> 36 años</t>
    </r>
  </si>
  <si>
    <r>
      <rPr>
        <rFont val="Arial"/>
        <b/>
        <color theme="1"/>
        <sz val="12.0"/>
      </rPr>
      <t xml:space="preserve"> All 3 monologues 
</t>
    </r>
    <r>
      <rPr>
        <rFont val="Arial"/>
        <color theme="1"/>
        <sz val="12.0"/>
      </rPr>
      <t>and</t>
    </r>
    <r>
      <rPr>
        <rFont val="Arial"/>
        <b/>
        <color theme="1"/>
        <sz val="12.0"/>
      </rPr>
      <t xml:space="preserve">
</t>
    </r>
    <r>
      <rPr>
        <rFont val="Arial"/>
        <color theme="1"/>
        <sz val="12.0"/>
      </rPr>
      <t>mateo_intro_practice
Hola, buenas BLANK.
Me llamo Mateo. Soy BLANK de software.
Soy BLANK. BLANK veinticinco años.
Word options: noches, ingeniero – tardes – estratega – tengo - soy – colombiana - puertorriqueño
Correct answer:
Hola, buenas noches.
Me llamo Mateo. Soy ingeniero de software.
Soy puertorriqueño. Tengo veinticinco años.</t>
    </r>
  </si>
  <si>
    <t>Practice (fill blanks, true and false, and multiple choice tasks)
Using</t>
  </si>
  <si>
    <t>Module 3 – First Questions</t>
  </si>
  <si>
    <t xml:space="preserve">"Main Objective
By the end of this module, learners will be able to ask and answer basic questions about name, profession, nationality, and age using simple expressions in Spanish.
Listening
By the end of the module, learners will be able to recognize common informal questions about personal information (name, origin, profession, age) and identify their meaning when spoken slowly in a short dialogue.
Reading
By the end of the module, learners will be able to match written questions about personal information with their English equivalents in a multiple-choice or matching exercise.
Writing
By the end of the module, learners will be able to complete a short dialogue with missing questions or answers by selecting the correct items from a provided word list with distractors."                                                                </t>
  </si>
  <si>
    <t>Plan curricular                                                                Module 3</t>
  </si>
  <si>
    <r>
      <rPr>
        <rFont val="Arial"/>
        <b/>
        <color theme="1"/>
        <sz val="12.0"/>
      </rPr>
      <t>Interrogative pronouns and adverbs</t>
    </r>
    <r>
      <rPr>
        <rFont val="Arial"/>
        <color theme="1"/>
        <sz val="12.0"/>
      </rPr>
      <t xml:space="preserve">
¿Cómo…? (¿Cómo te llamas?)
¿De dónde…? (¿De dónde eres?)
¿Qué…? (¿Qué haces?)
¿Cuántos…? (¿Cuántos años tienes?)
</t>
    </r>
    <r>
      <rPr>
        <rFont val="Arial"/>
        <b/>
        <color theme="1"/>
        <sz val="12.0"/>
      </rPr>
      <t>Verb ser (present tense)</t>
    </r>
    <r>
      <rPr>
        <rFont val="Arial"/>
        <color theme="1"/>
        <sz val="12.0"/>
      </rPr>
      <t xml:space="preserve">
Soy, eres (for identity, origin, nationality, profession).
</t>
    </r>
    <r>
      <rPr>
        <rFont val="Arial"/>
        <b/>
        <color theme="1"/>
        <sz val="12.0"/>
      </rPr>
      <t>Verb tener (present tense, age expression)</t>
    </r>
    <r>
      <rPr>
        <rFont val="Arial"/>
        <color theme="1"/>
        <sz val="12.0"/>
      </rPr>
      <t xml:space="preserve">
Tengo … años.
</t>
    </r>
    <r>
      <rPr>
        <rFont val="Arial"/>
        <b/>
        <color theme="1"/>
        <sz val="12.0"/>
      </rPr>
      <t>Subject ellipsis (Ø)</t>
    </r>
    <r>
      <rPr>
        <rFont val="Arial"/>
        <color theme="1"/>
        <sz val="12.0"/>
      </rPr>
      <t xml:space="preserve">
Soy Basti. Soy de Guatemala. (instead of Yo soy Basti).
</t>
    </r>
    <r>
      <rPr>
        <rFont val="Arial"/>
        <b/>
        <color theme="1"/>
        <sz val="12.0"/>
      </rPr>
      <t>Declarative sentences (simple)</t>
    </r>
    <r>
      <rPr>
        <rFont val="Arial"/>
        <color theme="1"/>
        <sz val="12.0"/>
      </rPr>
      <t xml:space="preserve">
Me llamo Ángela. Soy representante de recursos humanos.
</t>
    </r>
    <r>
      <rPr>
        <rFont val="Arial"/>
        <b/>
        <color theme="1"/>
        <sz val="12.0"/>
      </rPr>
      <t>Question word order</t>
    </r>
    <r>
      <rPr>
        <rFont val="Arial"/>
        <color theme="1"/>
        <sz val="12.0"/>
      </rPr>
      <t xml:space="preserve">
¿Cómo te llamas? (interrogative first, verb second).</t>
    </r>
  </si>
  <si>
    <t>Pedir información: datos personales (nombre, origen, nacionalidad, edad, profesión)
Dar información: datos personales (nombre, origen, nacionalidad, edad, profesión)
Identificar (nombre, profesión, nacionalidad)
Expresar certeza (enunciados declarativos)</t>
  </si>
  <si>
    <t xml:space="preserve"> representante de recursos humanos, analista junior	</t>
  </si>
  <si>
    <t>Origen: ser de + país/ciudad
Nacionalidad: ser + nacionalidad
Edad: tener + número cardinal + años
Cantidad numérica: números cardinales
Cualidad general: ser (identidad, profesión)</t>
  </si>
  <si>
    <t>Datos personales: nombre
Datos personales: profesión
Datos personales: nacionalidad
Datos personales: edad
Datos personales: lugar de origen</t>
  </si>
  <si>
    <r>
      <rPr>
        <b/>
        <color rgb="FF1155CC"/>
        <sz val="12.0"/>
        <u/>
      </rPr>
      <t>Cultura</t>
    </r>
    <r>
      <rPr>
        <b/>
        <sz val="12.0"/>
      </rPr>
      <t xml:space="preserve">, </t>
    </r>
    <r>
      <rPr>
        <b/>
        <color rgb="FF1155CC"/>
        <sz val="12.0"/>
        <u/>
      </rPr>
      <t xml:space="preserve">saberes </t>
    </r>
    <r>
      <rPr>
        <b/>
        <sz val="12.0"/>
      </rPr>
      <t>y comportamientos</t>
    </r>
  </si>
  <si>
    <t>Mantenimiento del referente e hilo discursivo: Sustitución por Ø (Soy guatemalteco instead of Yo soy guatemalteco)
Estrategias de reciprocidad: uso de “¿Y tú?” para mantener la interacción</t>
  </si>
  <si>
    <t xml:space="preserve">Conversaciones cara a cara, muy breves e informales, sobre personas	</t>
  </si>
  <si>
    <t>Mayúscula en nombres, países y nacionalidades (Ángela, Guatemala, Guatemalteco, El Salvador, Salvadoreña)
Uso de tilde en palabras comunes (años, también, Ángela)
Signos de interrogación al inicio y final de las preguntas (¿Cómo te llamas?)</t>
  </si>
  <si>
    <t>Questions (informal)
¿Cómo? 
¿De dónde? 
¿A qué? – 
¿Cuántos? 
Mucho gusto – Nice to meet you
Encantado/a – Pleased to meet you
Igualmente – Likewise
Profesiones: representante de recursos humanos, analista junior
Nacionalidades: salvadoreña, guatemalteco
Países: El Salvador, Guatemala</t>
  </si>
  <si>
    <r>
      <rPr>
        <rFont val="Arial"/>
        <b/>
        <color theme="1"/>
        <sz val="12.0"/>
      </rPr>
      <t xml:space="preserve">Meet Ángela and Basti
</t>
    </r>
    <r>
      <rPr>
        <rFont val="Arial"/>
        <color theme="1"/>
        <sz val="12.0"/>
      </rPr>
      <t xml:space="preserve">
Ángela: Hola, buenas tardes. ¿Cómo te llamas?
Basti: Mi nombre es Sebastián. Me llaman Basti. ¿Y tú?
Ángela: Me llamo Ángela. 
Basti: Mucho gusto, Ángela. ¿De dónde eres?
Ángela: Soy de El Salvador. Soy salvadoreña. ¿Y vós?
Basti: Soy de Guatemala. Soy guatemalteco.
Ángela: ¿Cuántos años tienes?
Basti: Tengo 21 años. ¿Y tú?
Ángela: Tengo 35 años.
Basti: ¿A qué te dedicas, Ángela?
Ángela: Soy representante de recursos humanos. ¿Y vós?
Basti: Soy analista junior.
Ángela: Encantada de conocerte, Basti.
Basti: Igualmente.</t>
    </r>
  </si>
  <si>
    <t xml:space="preserve">Make sure you have audio needed on the CDN (Or that you'll record them)  </t>
  </si>
  <si>
    <t>Writing
Camila: Hola, buenas tardes. ___
Mateo: Me llamo Mateo. ¿Y tú?
Camila: Me llamo Camila.
Mateo: Mucho gusto. ___
Camila: Soy de Colômbia. Soy ___. ¿Y tú?
Mateo: Soy de _. Soy puertorriqueño.
Camila: ___
Mateo: Soy ingeniero de software. ¿Y tú?
Camila: Soy analista de datos.
Camila: ___
Mateo: Tengo 25 años. ¿Y tú?
Camila: Tengo 30 años.
Word options: ¿Cómo te llamas? – ¿De dónde eres? – ¿Qué haces? – ¿Cuántos años tienes? – Colombia – colombiana – Puerto Rico ¿Dónde vives? – ¿Trabajas aquí? – Puerto Rico – uruguaya
Correct answer:
Lesson 3 writing practice 1
Camila: Hola, buenas tardes. ¿Cómo te llamas?
Mateo: Mi nombre es Mateo. ¿Y tú?
Camila: Me llamo Camila.
Mateo: Mucho gusto. ¿De dónde eres?
Camila: Soy de Colombia. Soy colombiana. ¿Y tú?
Mateo: Soy de Puerto Rico. Soy puertorriqueño.
Camila: ¿A qué te dedicas?
Mateo: Soy ingeniero de software. ¿Y tú, Camila?
Camila: Soy analista de datos. ¿Cuántos años tienes?
Mateo: Tengo 25 años. ¿Y tú?
Camila: Tengo 30 años.</t>
  </si>
  <si>
    <t xml:space="preserve">Florencia: Hola, buenas tardes. Mi nombre es Florencia. ¿Cómo te llamas?
Federico: Mi nombre es Federico. ¿De dónde eres?
Florencia: Soy de El Salvador. ¿Y tú?
Federico: Soy de Argentina.
Florencia: ¿Cuántos años tienes?
Federico: Tengo treinta y seis años. ¿Y tú?
Florencia: Tengo treinta y cinco años. Encantada de conocerte, Federico.
Federico: Igualmente.
</t>
  </si>
  <si>
    <t>Chapter Describing a Company and Its People</t>
  </si>
  <si>
    <t>By the end of this chapter, learners will be able to describe basic information about a company and its employees using simple third-person forms (“él / ella” and “la empresa / el equipo”). They will identify and use numbers from 0 to 100, recognize workplace department names, and read or complete short third-person descriptions related to a company context.</t>
  </si>
  <si>
    <t>Module 1 — Numbers from 30 to 100 
Module 2 — Describing a company
Module 3 - Describing people at work</t>
  </si>
  <si>
    <t xml:space="preserve">Module 1 Numbers from 30 to 100 </t>
  </si>
  <si>
    <t>Listening Objectives
By the end of this module, learners will be able to identify numbers between 30 and 100 when spoken at a slow pace in short audio clips.
By the end of this module, learners will be able to recognize quantities expressed with numbers 30–100 in simple recorded statements.
Reading Objectives
By the end of this module, learners will be able to match written numbers (30–100) to their digit forms.
Writing Objectives
By the end of this module, learners will be able to write numbers from 30 to 100 in words in short, controlled tasks.</t>
  </si>
  <si>
    <t>Cardinal numbers from 30 to 100
Compound number structure:
tens + y + unit
treinta y uno, cuarenta y cinco, sesenta y ocho
Round numbers:
treinta, cuarenta, cincuenta, sesenta, setenta, ochenta, noventa, cien
No new verb conjugations introduced</t>
  </si>
  <si>
    <t xml:space="preserve">Identifying and recognizing numbers from 30 to 100 in spoken form
Matching written numbers with numerical values
Expressing quantities using numbers in controlled contexts
Completing simple informational statements with numbers     </t>
  </si>
  <si>
    <t>Cantidad numérica: números cardinales</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</si>
  <si>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</si>
  <si>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r>
      <rPr>
        <rFont val="Arial"/>
        <color theme="1"/>
        <sz val="12.0"/>
      </rPr>
      <t xml:space="preserve">Numbers 30 to 100 and any other audio you think is necessary
</t>
    </r>
    <r>
      <rPr>
        <rFont val="Arial"/>
        <b/>
        <color theme="1"/>
        <sz val="12.0"/>
      </rPr>
      <t>ES_A1_describing_company_and_people_numbers_21_100 (Already created)</t>
    </r>
    <r>
      <rPr>
        <rFont val="Arial"/>
        <color theme="1"/>
        <sz val="12.0"/>
      </rPr>
      <t xml:space="preserve">
</t>
    </r>
  </si>
  <si>
    <t xml:space="preserve">Objectives:
Recognize numbers from 30 to 100 when heard slowly
Match written numbers to digits
Identify numbers
Each number is taught with:
written form
digit form
a simple example sentence (optional, single-word preferred)
No inflection, no gender
No verb instruction
</t>
  </si>
  <si>
    <t>Here you'll probably use all the base material from your learn blocks. If you want you can create more audios to support the lesson</t>
  </si>
  <si>
    <t xml:space="preserve">Module 2 Describing a Company                                                             </t>
  </si>
  <si>
    <t>Listening Objectives
By the end of this module, learners will be able to identify basic information about a company (name, website, location, number of employees, departments) in short spoken statements.
By the end of this module, learners will be able to recognize descriptions of a company using third-person forms such as se llama, es, tiene.
Reading Objectives
By the end of this module, learners will be able to read and extract key details from short third-person texts about a company.
By the end of this module, learners will be able to match department names to short descriptions in a company context.
By the end of this module, learners will be able to identify numbers 31–100 inside short workplace descriptions (tiene cincuenta empleados, veintidós oficinas).
Writing Objectives
By the end of this module, learners will be able to complete short third-person statements about a company using a guided word bank (e.g., La empresa se llama… / Tiene… empleados.).</t>
  </si>
  <si>
    <t>Plan curricular                                                                Module 2 - Rafa</t>
  </si>
  <si>
    <t>Presente de indicativo en 3.ª persona singular:
ser (es), llamarse (se llama), tener (tiene), estar (está)
Estructura básica SN + verbo en tercera persona
(La empresa es…, La empresa tiene…)
Uso de artículos definidos con sustantivos de empresa y departamentos
(la empresa, el departamento de…)
Números cardinales 31–100 en contexto informativo
(setenta y tres empleados)</t>
  </si>
  <si>
    <t>Pedir información básica sobre una empresa
(¿Cómo se llama…?, ¿Dónde está…?, ¿Cuántos empleados tiene…?, ¿Cuál es el sitio web?)
Dar información básica sobre una empresa
(Es una empresa de…, Tiene…, Está en…)
Identificar y describir una empresa y sus departamentos</t>
  </si>
  <si>
    <t>Empresa y sector:
empresa
empresa de tecnología
sector
Estructura organizativa:
departamento
empleados
Departamentos:
ingeniería
datos y analítica
producto y gestión de proyectos
diseño y experiencia de usuario
marketing
control de calidad
personas / recursos humanos
aprendizaje y desarrollo
Información corporativa:
sede
sitio web
Números:</t>
  </si>
  <si>
    <t>Identidad
identificación de entidades (empresa)
Cantidad
número de empleados
Espacio / localización
ciudad y país (sede)
Existencia y posesión
presencia de departamentos y empleados</t>
  </si>
  <si>
    <t>Nociones específicas
Ámbito profesional y laboral
empresa tecnológica
estructura básica de una empresa
Organización interna
departamentos y funciones
Contexto digital
sitio web corporativo</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</si>
  <si>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</si>
  <si>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Géneros discursivos y productos textuales
Conversación breve cara a cara (preguntas y respuestas sobre trabajo)
Diálogo informativo (entre compañeros de trabajo)
Descripción informativa breve de una empresa
Ficha / perfil de empresa con datos básicos</t>
  </si>
  <si>
    <r>
      <rPr>
        <rFont val="Arial"/>
        <color theme="1"/>
        <sz val="12.0"/>
      </rPr>
      <t>te</t>
    </r>
    <r>
      <rPr>
        <rFont val="Arial"/>
        <b/>
        <color theme="1"/>
        <sz val="12.0"/>
      </rPr>
      <t>cn</t>
    </r>
    <r>
      <rPr>
        <rFont val="Arial"/>
        <color theme="1"/>
        <sz val="12.0"/>
      </rPr>
      <t>ología
se</t>
    </r>
    <r>
      <rPr>
        <rFont val="Arial"/>
        <b/>
        <color theme="1"/>
        <sz val="12.0"/>
      </rPr>
      <t>ct</t>
    </r>
    <r>
      <rPr>
        <rFont val="Arial"/>
        <color theme="1"/>
        <sz val="12.0"/>
      </rPr>
      <t>or
Estru</t>
    </r>
    <r>
      <rPr>
        <rFont val="Arial"/>
        <b/>
        <color theme="1"/>
        <sz val="12.0"/>
      </rPr>
      <t>ct</t>
    </r>
    <r>
      <rPr>
        <rFont val="Arial"/>
        <color theme="1"/>
        <sz val="12.0"/>
      </rPr>
      <t>ura
ingen</t>
    </r>
    <r>
      <rPr>
        <rFont val="Arial"/>
        <b/>
        <color theme="1"/>
        <sz val="12.0"/>
      </rPr>
      <t>ie</t>
    </r>
    <r>
      <rPr>
        <rFont val="Arial"/>
        <color theme="1"/>
        <sz val="12.0"/>
      </rPr>
      <t>ría
pro</t>
    </r>
    <r>
      <rPr>
        <rFont val="Arial"/>
        <b/>
        <color theme="1"/>
        <sz val="12.0"/>
      </rPr>
      <t>y</t>
    </r>
    <r>
      <rPr>
        <rFont val="Arial"/>
        <color theme="1"/>
        <sz val="12.0"/>
      </rPr>
      <t>ectos (Not pro</t>
    </r>
    <r>
      <rPr>
        <rFont val="Arial"/>
        <b/>
        <color theme="1"/>
        <sz val="12.0"/>
      </rPr>
      <t>j</t>
    </r>
    <r>
      <rPr>
        <rFont val="Arial"/>
        <color theme="1"/>
        <sz val="12.0"/>
      </rPr>
      <t>ectos)
aprendi</t>
    </r>
    <r>
      <rPr>
        <rFont val="Arial"/>
        <b/>
        <color theme="1"/>
        <sz val="12.0"/>
      </rPr>
      <t>za</t>
    </r>
    <r>
      <rPr>
        <rFont val="Arial"/>
        <color theme="1"/>
        <sz val="12.0"/>
      </rPr>
      <t>je y desa</t>
    </r>
    <r>
      <rPr>
        <rFont val="Arial"/>
        <b/>
        <color theme="1"/>
        <sz val="12.0"/>
      </rPr>
      <t>rr</t>
    </r>
    <r>
      <rPr>
        <rFont val="Arial"/>
        <color theme="1"/>
        <sz val="12.0"/>
      </rPr>
      <t>o</t>
    </r>
    <r>
      <rPr>
        <rFont val="Arial"/>
        <b/>
        <color theme="1"/>
        <sz val="12.0"/>
      </rPr>
      <t>ll</t>
    </r>
    <r>
      <rPr>
        <rFont val="Arial"/>
        <color theme="1"/>
        <sz val="12.0"/>
      </rPr>
      <t>o</t>
    </r>
  </si>
  <si>
    <r>
      <rPr>
        <rFont val="Arial"/>
        <color theme="1"/>
        <sz val="12.0"/>
      </rPr>
      <t xml:space="preserve">
</t>
    </r>
    <r>
      <rPr>
        <rFont val="Arial"/>
        <b/>
        <color theme="1"/>
        <sz val="12.0"/>
      </rPr>
      <t>Ingenería
gestión</t>
    </r>
  </si>
  <si>
    <r>
      <rPr>
        <rFont val="Arial"/>
        <color theme="1"/>
        <sz val="12.0"/>
      </rPr>
      <t xml:space="preserve">
</t>
    </r>
    <r>
      <rPr>
        <rFont val="Arial"/>
        <b/>
        <color theme="1"/>
        <sz val="12.0"/>
      </rPr>
      <t xml:space="preserve">Describing a company basics vocabulary
ES_A1_describing_a_company_basics_vocabulary.mp3
</t>
    </r>
    <r>
      <rPr>
        <rFont val="Arial"/>
        <color theme="1"/>
        <sz val="12.0"/>
      </rPr>
      <t xml:space="preserve">
Empresa de tecnología
Ingeniería
Datos y analítica
Producto y gestión de proyectos
Diseño y experiencia de usuario
Marketing
Control de calidad
Recursos Humanos
Aprendizaje y desarrollo</t>
    </r>
  </si>
  <si>
    <r>
      <rPr>
        <rFont val="Arial"/>
        <b/>
        <color theme="1"/>
        <sz val="12.0"/>
      </rPr>
      <t xml:space="preserve">Numbers
</t>
    </r>
    <r>
      <rPr>
        <rFont val="Arial"/>
        <b val="0"/>
        <color theme="1"/>
        <sz val="12.0"/>
      </rPr>
      <t xml:space="preserve">0-9 (in order)
30-39
70-79
</t>
    </r>
    <r>
      <rPr>
        <rFont val="Arial"/>
        <b/>
        <color theme="1"/>
        <sz val="12.0"/>
      </rPr>
      <t xml:space="preserve">Vocabulary (emphasis)
</t>
    </r>
    <r>
      <rPr>
        <rFont val="Arial"/>
        <b val="0"/>
        <color theme="1"/>
        <sz val="12.0"/>
      </rPr>
      <t>Tecnología
Gestión
Aprendizaje
Desarrollo</t>
    </r>
  </si>
  <si>
    <t xml:space="preserve">This warm-up shouldn't be too long. Since the previous module focuses on numbers I don't think you need to add numbers here. 
But if you feel the need, feel free to review them. I suggest just introducing the names of the departments and empresa de tecnología. </t>
  </si>
  <si>
    <r>
      <rPr>
        <rFont val="Arial"/>
        <b/>
        <color theme="1"/>
        <sz val="12.0"/>
      </rPr>
      <t xml:space="preserve">ES_A1_what_the_company_does — What the company does
</t>
    </r>
    <r>
      <rPr>
        <rFont val="Arial"/>
        <color theme="1"/>
        <sz val="12.0"/>
      </rPr>
      <t xml:space="preserve">Andes Commerce </t>
    </r>
    <r>
      <rPr>
        <rFont val="Arial"/>
        <b/>
        <color theme="1"/>
        <sz val="12.0"/>
      </rPr>
      <t>es</t>
    </r>
    <r>
      <rPr>
        <rFont val="Arial"/>
        <color theme="1"/>
        <sz val="12.0"/>
      </rPr>
      <t xml:space="preserve"> una empresa de tecnología.
</t>
    </r>
    <r>
      <rPr>
        <rFont val="Arial"/>
        <b/>
        <color theme="1"/>
        <sz val="12.0"/>
      </rPr>
      <t>La</t>
    </r>
    <r>
      <rPr>
        <rFont val="Arial"/>
        <color theme="1"/>
        <sz val="12.0"/>
      </rPr>
      <t xml:space="preserve"> empresa </t>
    </r>
    <r>
      <rPr>
        <rFont val="Arial"/>
        <b/>
        <color theme="1"/>
        <sz val="12.0"/>
      </rPr>
      <t>crea</t>
    </r>
    <r>
      <rPr>
        <rFont val="Arial"/>
        <color theme="1"/>
        <sz val="12.0"/>
      </rPr>
      <t xml:space="preserve"> productos digitales.
</t>
    </r>
    <r>
      <rPr>
        <rFont val="Arial"/>
        <b/>
        <color theme="1"/>
        <sz val="12.0"/>
      </rPr>
      <t>Trabaja</t>
    </r>
    <r>
      <rPr>
        <rFont val="Arial"/>
        <color theme="1"/>
        <sz val="12.0"/>
      </rPr>
      <t xml:space="preserve"> con datos, diseño y software.
</t>
    </r>
    <r>
      <rPr>
        <rFont val="Arial"/>
        <b/>
        <color theme="1"/>
        <sz val="12.0"/>
      </rPr>
      <t>Ayuda</t>
    </r>
    <r>
      <rPr>
        <rFont val="Arial"/>
        <color theme="1"/>
        <sz val="12.0"/>
      </rPr>
      <t xml:space="preserve"> a otras empresas a mejorar sus servicios en línea.
</t>
    </r>
    <r>
      <rPr>
        <rFont val="Arial"/>
        <b/>
        <color theme="1"/>
        <sz val="12.0"/>
      </rPr>
      <t xml:space="preserve">ES_A1_company_departments_and_employees — Company departments and employees
</t>
    </r>
    <r>
      <rPr>
        <rFont val="Arial"/>
        <color theme="1"/>
        <sz val="12.0"/>
      </rPr>
      <t xml:space="preserve">
Andes Commerce tiene varios departamentos.
El </t>
    </r>
    <r>
      <rPr>
        <rFont val="Arial"/>
        <b/>
        <color theme="1"/>
        <sz val="12.0"/>
      </rPr>
      <t>Departamento de Ingeniería</t>
    </r>
    <r>
      <rPr>
        <rFont val="Arial"/>
        <color theme="1"/>
        <sz val="12.0"/>
      </rPr>
      <t xml:space="preserve"> tiene veinticinco empleados.
El </t>
    </r>
    <r>
      <rPr>
        <rFont val="Arial"/>
        <b/>
        <color theme="1"/>
        <sz val="12.0"/>
      </rPr>
      <t xml:space="preserve">Departamento de Datos y Analítica </t>
    </r>
    <r>
      <rPr>
        <rFont val="Arial"/>
        <color theme="1"/>
        <sz val="12.0"/>
      </rPr>
      <t xml:space="preserve">tiene doce empleados.
</t>
    </r>
    <r>
      <rPr>
        <rFont val="Arial"/>
        <b/>
        <color theme="1"/>
        <sz val="12.0"/>
      </rPr>
      <t>Producto y Gestión</t>
    </r>
    <r>
      <rPr>
        <rFont val="Arial"/>
        <color theme="1"/>
        <sz val="12.0"/>
      </rPr>
      <t xml:space="preserve"> </t>
    </r>
    <r>
      <rPr>
        <rFont val="Arial"/>
        <b/>
        <color theme="1"/>
        <sz val="12.0"/>
      </rPr>
      <t>de Proyectos</t>
    </r>
    <r>
      <rPr>
        <rFont val="Arial"/>
        <color theme="1"/>
        <sz val="12.0"/>
      </rPr>
      <t xml:space="preserve"> tiene ocho empleados.
</t>
    </r>
    <r>
      <rPr>
        <rFont val="Arial"/>
        <b/>
        <color theme="1"/>
        <sz val="12.0"/>
      </rPr>
      <t>Diseño y Experiencia de Usuario</t>
    </r>
    <r>
      <rPr>
        <rFont val="Arial"/>
        <color theme="1"/>
        <sz val="12.0"/>
      </rPr>
      <t xml:space="preserve"> tiene diez empleados.
El equipo de </t>
    </r>
    <r>
      <rPr>
        <rFont val="Arial"/>
        <b/>
        <color theme="1"/>
        <sz val="12.0"/>
      </rPr>
      <t>Marketing</t>
    </r>
    <r>
      <rPr>
        <rFont val="Arial"/>
        <color theme="1"/>
        <sz val="12.0"/>
      </rPr>
      <t xml:space="preserve"> tiene seis miembros.
El equipo de </t>
    </r>
    <r>
      <rPr>
        <rFont val="Arial"/>
        <b/>
        <color theme="1"/>
        <sz val="12.0"/>
      </rPr>
      <t>Control de Calidad</t>
    </r>
    <r>
      <rPr>
        <rFont val="Arial"/>
        <color theme="1"/>
        <sz val="12.0"/>
      </rPr>
      <t xml:space="preserve"> tiene cinco miembros.
Hay cuatro personas en el equipo de</t>
    </r>
    <r>
      <rPr>
        <rFont val="Arial"/>
        <b/>
        <color theme="1"/>
        <sz val="12.0"/>
      </rPr>
      <t xml:space="preserve"> Recursos Humanos</t>
    </r>
    <r>
      <rPr>
        <rFont val="Arial"/>
        <color theme="1"/>
        <sz val="12.0"/>
      </rPr>
      <t xml:space="preserve">.
Hay tres personas en el departamento de </t>
    </r>
    <r>
      <rPr>
        <rFont val="Arial"/>
        <b/>
        <color theme="1"/>
        <sz val="12.0"/>
      </rPr>
      <t>Aprendizaje y Desarrollo</t>
    </r>
    <r>
      <rPr>
        <rFont val="Arial"/>
        <color theme="1"/>
        <sz val="12.0"/>
      </rPr>
      <t>.</t>
    </r>
  </si>
  <si>
    <r>
      <rPr>
        <rFont val="Arial"/>
        <color theme="1"/>
        <sz val="12.0"/>
      </rPr>
      <t xml:space="preserve">- Keep the focus on the noun </t>
    </r>
    <r>
      <rPr>
        <rFont val="Arial"/>
        <b/>
        <color theme="1"/>
        <sz val="12.0"/>
      </rPr>
      <t>Andes Commerce / La empresa</t>
    </r>
    <r>
      <rPr>
        <rFont val="Arial"/>
        <color theme="1"/>
        <sz val="12.0"/>
      </rPr>
      <t xml:space="preserve">
- Reinforce </t>
    </r>
    <r>
      <rPr>
        <rFont val="Arial"/>
        <b/>
        <color theme="1"/>
        <sz val="12.0"/>
      </rPr>
      <t>third person singular</t>
    </r>
    <r>
      <rPr>
        <rFont val="Arial"/>
        <color theme="1"/>
        <sz val="12.0"/>
      </rPr>
      <t xml:space="preserve">
- Highlight and refresh the student on the </t>
    </r>
    <r>
      <rPr>
        <rFont val="Arial"/>
        <b/>
        <color theme="1"/>
        <sz val="12.0"/>
      </rPr>
      <t>verb conjugation in third person</t>
    </r>
    <r>
      <rPr>
        <rFont val="Arial"/>
        <color theme="1"/>
        <sz val="12.0"/>
      </rPr>
      <t xml:space="preserve">
The verbs we’ll repeatedly reinforce in third person singular are:
-</t>
    </r>
    <r>
      <rPr>
        <rFont val="Arial"/>
        <b/>
        <color theme="1"/>
        <sz val="12.0"/>
      </rPr>
      <t xml:space="preserve"> es (ser)</t>
    </r>
    <r>
      <rPr>
        <rFont val="Arial"/>
        <color theme="1"/>
        <sz val="12.0"/>
      </rPr>
      <t xml:space="preserve">
-</t>
    </r>
    <r>
      <rPr>
        <rFont val="Arial"/>
        <b/>
        <color theme="1"/>
        <sz val="12.0"/>
      </rPr>
      <t xml:space="preserve"> crea (crear)</t>
    </r>
    <r>
      <rPr>
        <rFont val="Arial"/>
        <color theme="1"/>
        <sz val="12.0"/>
      </rPr>
      <t xml:space="preserve">
-</t>
    </r>
    <r>
      <rPr>
        <rFont val="Arial"/>
        <b/>
        <color theme="1"/>
        <sz val="12.0"/>
      </rPr>
      <t xml:space="preserve"> trabaja (trabajar)</t>
    </r>
    <r>
      <rPr>
        <rFont val="Arial"/>
        <color theme="1"/>
        <sz val="12.0"/>
      </rPr>
      <t xml:space="preserve">
-</t>
    </r>
    <r>
      <rPr>
        <rFont val="Arial"/>
        <b/>
        <color theme="1"/>
        <sz val="12.0"/>
      </rPr>
      <t xml:space="preserve"> ayuda (ayudar)</t>
    </r>
    <r>
      <rPr>
        <rFont val="Arial"/>
        <color theme="1"/>
        <sz val="12.0"/>
      </rPr>
      <t xml:space="preserve">
</t>
    </r>
    <r>
      <rPr>
        <rFont val="Arial"/>
        <b/>
        <color theme="1"/>
        <sz val="12.0"/>
      </rPr>
      <t>Emphasize agreement between:</t>
    </r>
    <r>
      <rPr>
        <rFont val="Arial"/>
        <color theme="1"/>
        <sz val="12.0"/>
      </rPr>
      <t xml:space="preserve">
Singular subjects - </t>
    </r>
    <r>
      <rPr>
        <rFont val="Arial"/>
        <b/>
        <color theme="1"/>
        <sz val="12.0"/>
      </rPr>
      <t>tiene</t>
    </r>
    <r>
      <rPr>
        <rFont val="Arial"/>
        <color theme="1"/>
        <sz val="12.0"/>
      </rPr>
      <t xml:space="preserve">
Existence structure - </t>
    </r>
    <r>
      <rPr>
        <rFont val="Arial"/>
        <b/>
        <color theme="1"/>
        <sz val="12.0"/>
      </rPr>
      <t>hay</t>
    </r>
    <r>
      <rPr>
        <rFont val="Arial"/>
        <color theme="1"/>
        <sz val="12.0"/>
      </rPr>
      <t xml:space="preserve">
</t>
    </r>
    <r>
      <rPr>
        <rFont val="Arial"/>
        <b/>
        <color theme="1"/>
        <sz val="12.0"/>
      </rPr>
      <t>Help students distinguish between:</t>
    </r>
    <r>
      <rPr>
        <rFont val="Arial"/>
        <color theme="1"/>
        <sz val="12.0"/>
      </rPr>
      <t xml:space="preserve">
</t>
    </r>
    <r>
      <rPr>
        <rFont val="Arial"/>
        <b/>
        <color theme="1"/>
        <sz val="12.0"/>
      </rPr>
      <t>tiene</t>
    </r>
    <r>
      <rPr>
        <rFont val="Arial"/>
        <color theme="1"/>
        <sz val="12.0"/>
      </rPr>
      <t xml:space="preserve"> (comes from tener – to have)
</t>
    </r>
    <r>
      <rPr>
        <rFont val="Arial"/>
        <b/>
        <color theme="1"/>
        <sz val="12.0"/>
      </rPr>
      <t xml:space="preserve">hay </t>
    </r>
    <r>
      <rPr>
        <rFont val="Arial"/>
        <color theme="1"/>
        <sz val="12.0"/>
      </rPr>
      <t xml:space="preserve">(comes from haber – there is / there are)
Numbers </t>
    </r>
    <r>
      <rPr>
        <rFont val="Arial"/>
        <b/>
        <color theme="1"/>
        <sz val="12.0"/>
      </rPr>
      <t>3–25</t>
    </r>
    <r>
      <rPr>
        <rFont val="Arial"/>
        <color theme="1"/>
        <sz val="12.0"/>
      </rPr>
      <t xml:space="preserve"> (reinforcement of quantity recognition)</t>
    </r>
  </si>
  <si>
    <t xml:space="preserve">You'll need to interleave teaching new vocab and teaching structure. 
Suggested approach (Which should be done thorughout the tasks not in just one task:
Teach "es" explain that is related to third person. 
relate the name of the company with their segment. 
teach the verb "crear", explain the conjugation "crea". You don't need to explain all the conjugations. 
If you want you can mention yo creo, tú creas, él/ella crea. But the focus is on the third person. Always keep in mind that teaching too much at once causes overload, and people don't actually learn when this happens. 
Teach La empresa (this could be before teaching the verb crear, it's a style option). 
Connect la empresa and what it creates. 
Repeate the same process to the following sentences. Teaching the verbs and relating them to the nouns. In here you want to really focus on showing HOW these verbs change because we are talking about a third person (the company). 
The second audio is more focused in the company departments and numbers. So, you'll want to focus on these two aspects. </t>
  </si>
  <si>
    <r>
      <rPr>
        <rFont val="Arial"/>
        <sz val="12.0"/>
      </rPr>
      <t xml:space="preserve">
</t>
    </r>
    <r>
      <rPr>
        <rFont val="Arial"/>
        <b/>
        <sz val="12.0"/>
      </rPr>
      <t xml:space="preserve">ES_A1_sebastian_asks_elena_about_her_company — Sebastián asks Elena about her company
</t>
    </r>
    <r>
      <rPr>
        <rFont val="Arial"/>
        <sz val="12.0"/>
      </rPr>
      <t xml:space="preserve">Sebastián: ¿Dónde trabajas?
Elena: Trabajo en una empresa de tecnología.
Sebastián: ¿Cómo </t>
    </r>
    <r>
      <rPr>
        <rFont val="Arial"/>
        <b/>
        <sz val="12.0"/>
      </rPr>
      <t>se</t>
    </r>
    <r>
      <rPr>
        <rFont val="Arial"/>
        <sz val="12.0"/>
      </rPr>
      <t xml:space="preserve"> llama la empresa?
Elena: La empresa </t>
    </r>
    <r>
      <rPr>
        <rFont val="Arial"/>
        <b/>
        <sz val="12.0"/>
      </rPr>
      <t>se</t>
    </r>
    <r>
      <rPr>
        <rFont val="Arial"/>
        <sz val="12.0"/>
      </rPr>
      <t xml:space="preserve"> llama Andes Commerce.
Sebastián: ¿Dónde está </t>
    </r>
    <r>
      <rPr>
        <rFont val="Arial"/>
        <b/>
        <sz val="12.0"/>
      </rPr>
      <t>su</t>
    </r>
    <r>
      <rPr>
        <rFont val="Arial"/>
        <sz val="12.0"/>
      </rPr>
      <t xml:space="preserve"> sede?
Elena: </t>
    </r>
    <r>
      <rPr>
        <rFont val="Arial"/>
        <b/>
        <sz val="12.0"/>
      </rPr>
      <t>Su</t>
    </r>
    <r>
      <rPr>
        <rFont val="Arial"/>
        <sz val="12.0"/>
      </rPr>
      <t xml:space="preserve"> sede está en Medellín, Colombia.
Sebastián: ¿En qué departamento </t>
    </r>
    <r>
      <rPr>
        <rFont val="Arial"/>
        <b/>
        <sz val="12.0"/>
      </rPr>
      <t>trabajas</t>
    </r>
    <r>
      <rPr>
        <rFont val="Arial"/>
        <sz val="12.0"/>
      </rPr>
      <t xml:space="preserve">?
Elena: Trabajo en el departamento de diseño y experiencia de usuario.
Sebastián: ¿Cuántos empleados tiene la empresa?
Elena: La empresa tiene setenta y tres empleados.
Sebastián: ¿Cuál es </t>
    </r>
    <r>
      <rPr>
        <rFont val="Arial"/>
        <b/>
        <sz val="12.0"/>
      </rPr>
      <t>su</t>
    </r>
    <r>
      <rPr>
        <rFont val="Arial"/>
        <sz val="12.0"/>
      </rPr>
      <t xml:space="preserve"> sitio web?
Elena: </t>
    </r>
    <r>
      <rPr>
        <rFont val="Arial"/>
        <b/>
        <sz val="12.0"/>
      </rPr>
      <t>Su</t>
    </r>
    <r>
      <rPr>
        <rFont val="Arial"/>
        <sz val="12.0"/>
      </rPr>
      <t xml:space="preserve"> sitio web es </t>
    </r>
    <r>
      <rPr>
        <rFont val="Arial"/>
        <color rgb="FF1155CC"/>
        <sz val="12.0"/>
        <u/>
      </rPr>
      <t xml:space="preserve">www.andescommerce.com
</t>
    </r>
    <r>
      <rPr>
        <rFont val="Arial"/>
        <sz val="12.0"/>
      </rPr>
      <t xml:space="preserve">Sebastián: ¿Hay empleos disponibles?
Elena: ¡Creo que si!
</t>
    </r>
    <r>
      <rPr>
        <rFont val="Arial"/>
        <b/>
        <sz val="12.0"/>
      </rPr>
      <t xml:space="preserve">ES_A1_elena_talks_about_her_company — Elena talks about her company
</t>
    </r>
    <r>
      <rPr>
        <rFont val="Arial"/>
        <sz val="12.0"/>
      </rPr>
      <t xml:space="preserve">
Hola! Trabajo en una empresa de tecnología.
La empresa se llama Andes Commerce.
Trabajo en el departamento de diseño y experiencia de usuario.
</t>
    </r>
    <r>
      <rPr>
        <rFont val="Arial"/>
        <b/>
        <sz val="12.0"/>
      </rPr>
      <t>Su</t>
    </r>
    <r>
      <rPr>
        <rFont val="Arial"/>
        <sz val="12.0"/>
      </rPr>
      <t xml:space="preserve"> sede está en Medellín, Colombia.
La empresa tiene setenta y tres empleados.
</t>
    </r>
    <r>
      <rPr>
        <rFont val="Arial"/>
        <b/>
        <sz val="12.0"/>
      </rPr>
      <t>Su</t>
    </r>
    <r>
      <rPr>
        <rFont val="Arial"/>
        <sz val="12.0"/>
      </rPr>
      <t xml:space="preserve"> sitio web es </t>
    </r>
    <r>
      <rPr>
        <rFont val="Arial"/>
        <color rgb="FF1155CC"/>
        <sz val="12.0"/>
        <u/>
      </rPr>
      <t>www.andescommerce.com</t>
    </r>
  </si>
  <si>
    <r>
      <rPr>
        <rFont val="Arial"/>
        <color theme="1"/>
        <sz val="12.0"/>
      </rPr>
      <t xml:space="preserve">New question compositions to cover:
</t>
    </r>
    <r>
      <rPr>
        <rFont val="Arial"/>
        <b/>
        <color theme="1"/>
        <sz val="12.0"/>
      </rPr>
      <t xml:space="preserve">¿Dónde...?
¿Cuántos...?
¿En qué...?
</t>
    </r>
    <r>
      <rPr>
        <rFont val="Arial"/>
        <color theme="1"/>
        <sz val="12.0"/>
      </rPr>
      <t>First person
- 'Trabajo'
Third person
- 'La empresa'
- 'Su'</t>
    </r>
  </si>
  <si>
    <t xml:space="preserve">In the first audio you'll give them the opportunity to review questions. Most of the questions are focused on the second person, but it's ok. 
They need repetition, Check the previous module from the last chapter to see what words were already taught. I believe all the palabras interrogativas used in this audio were covered before. So, in theory you don't need to teach them again. But the questions are new. So you do need to teach what the questions mean. If you want you can review the palabras interrogativas function. At this level this is welcome. 
For the answers, there's a nice mix between conjugation of first person when Elena talks about herself, and third person when she talks about the company. make sure to create tasks that make students pay attention to this. Specially fill-in-the-blanks after multiple choice. 
The second audio is basically a compilation of all elena's answers. It's a good moment to wrap up any content you might want to cover. 
Make sure you are spreading the theory troughtout the content so it doesn't get too dense at the beginning and too repetitive at the end. </t>
  </si>
  <si>
    <r>
      <rPr>
        <rFont val="Arial"/>
        <b/>
        <sz val="12.0"/>
      </rPr>
      <t>The whole audio from ES_A1_sebastian_asks_elena_about_her_company — Sebastián asks Elena about her company
and ES_A1_elena_talks_about_her_company — Elena talks about her company
ES_A1_andescommerce_company_profile — AndesCommerce company profile</t>
    </r>
    <r>
      <rPr>
        <rFont val="Arial"/>
        <sz val="12.0"/>
      </rPr>
      <t xml:space="preserve">
Nombre de la empresa: Andes Commerce
Sector: tecnología
Sede: Medellín, Colombia
Número de empleados: setenta y tres
Sitio web: </t>
    </r>
    <r>
      <rPr>
        <rFont val="Arial"/>
        <color rgb="FF1155CC"/>
        <sz val="12.0"/>
        <u/>
      </rPr>
      <t xml:space="preserve">www.andescommerce.com
</t>
    </r>
    <r>
      <rPr>
        <rFont val="Arial"/>
        <b/>
        <sz val="12.0"/>
      </rPr>
      <t>ES_A1_company_facts_short — Short company facts</t>
    </r>
    <r>
      <rPr>
        <rFont val="Arial"/>
        <sz val="12.0"/>
      </rPr>
      <t xml:space="preserve">
Andes Commerce es una empresa de tecnología.
</t>
    </r>
    <r>
      <rPr>
        <rFont val="Arial"/>
        <b/>
        <sz val="12.0"/>
      </rPr>
      <t>Su</t>
    </r>
    <r>
      <rPr>
        <rFont val="Arial"/>
        <sz val="12.0"/>
      </rPr>
      <t xml:space="preserve"> sede está en Medellín.
Tiene setenta y tres empleados.
Tiene ocho departamentos.
</t>
    </r>
    <r>
      <rPr>
        <rFont val="Arial"/>
        <b/>
        <sz val="12.0"/>
      </rPr>
      <t>ES_A1_company_details_fill_in — Company details (writing practice)</t>
    </r>
    <r>
      <rPr>
        <rFont val="Arial"/>
        <sz val="12.0"/>
      </rPr>
      <t xml:space="preserve">
</t>
    </r>
    <r>
      <rPr>
        <rFont val="Arial"/>
        <b/>
        <sz val="12.0"/>
      </rPr>
      <t>La empresa se llama Andes Commerce.
Es una empresa de tecnología.
Su sede está en Medellín.
Tiene setenta y tres empleados.
Su sitio web es www.andescommerce.com.</t>
    </r>
    <r>
      <rPr>
        <rFont val="Arial"/>
        <sz val="12.0"/>
      </rPr>
      <t xml:space="preserve">
La empresa ___ AndesCommerce.
__ una empresa de ________.
La sede __ en Medellín.
__ ________ empleados.
El ____ web es www.andescommerce.com.
Banco de palabras:
 se llama – Es – está – Tiene - setenta y tres – sitio</t>
    </r>
  </si>
  <si>
    <r>
      <rPr>
        <rFont val="Arial"/>
        <color theme="1"/>
        <sz val="12.0"/>
      </rPr>
      <t xml:space="preserve">Start the practice by using the whole audio from the previous learn block (ES_A1_sebastina_asks-elena_about_her_company) Suggested order: task with the whole audio (ask comprehension questions), then task with the whole text from the audio written and with blanks (this will allow student to see the whole conversation written and write keywords). Repeat that for the second audio (ES_A1_elena_talks_about_her_Company). 
Then you can proceed to other practice exercises. There are three practice base material available in the base material. The last one is a writing practice. 
PS: remember to include in the practice speaking tasks. </t>
    </r>
    <r>
      <rPr>
        <rFont val="Arial"/>
        <b/>
        <color theme="1"/>
        <sz val="12.0"/>
      </rPr>
      <t>This is important.</t>
    </r>
  </si>
  <si>
    <t>Module 3 – Describing People at Work</t>
  </si>
  <si>
    <t>Listening
Listening Objectives
By the end of this module, learners will be able to recognize third-person descriptions of people (name, nationality, profession, age) in short audios.
By the end of this module, learners will be able to identify corrections in short conversations using simple exchanges (e.g., “¿Es mexicana? — No, es uruguaya.”).
Reading Objectives
By the end of this module, learners will be able to interpret short profiles written in third person about employees in a company.
By the end of this module, learners will be able to match people to their short descriptions using names, nationalities, professions, and ages.
By the end of this module, learners will be able to recognize key third-person structures (se llama, es, tiene, es de) in simple workplace texts.
Writing Objectives
By the end of this module, learners will be able to complete short third-person descriptions of people using controlled vocabulary and guided sentence starters.</t>
  </si>
  <si>
    <t>Third-person of key verbs
llamarse - se llama
ser - es
tener - tiene
Origin and profession structures
Es de…
Es + nacionalidad
Es + profesión
Possessives (limited)
su
Only for contact details or names, e.g.:
Su apellido es…
Su correo es…
We avoid plural or heavy constructions.
Review only (support, not new instruction)
1st person: me llamo, soy, tengo
2nd person: te llamas, eres, tienes
(they were taught in Modules 1–2)
Not included yet
Third-person plural (ellos/ellas)</t>
  </si>
  <si>
    <t>Describing a third person (name, age, nationality, job, origin).
Asking for information about someone else (input only):
¿Cómo se llama?
¿De dónde es?
¿Qué edad tiene?
Comparing two profiles (very simple).
Giving basic information about coworkers.</t>
  </si>
  <si>
    <t>Focus on vocabulary previously introduced in Module 2, now used for él / ella.
Personal data vocabulary reused with new focus:
edad
ciudad
profesión
correo electrónico
número de teléfono
New small additions:
compañero/a
colega
persona 
Use professions already introduced
Nationalities
Countries</t>
  </si>
  <si>
    <t>Identidad de otra persona: nombre, apellido
Origen: país, nacionalidad
Edad: número + años
Profesión: es + profesión</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</si>
  <si>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</si>
  <si>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t>Maintaining reference to a third person without repeating the name (pronoun use: él/ella).
Subject ellipsis when describing another person:
Es colombiana. (instead of Ella es colombiana.)
Clarifying identity:
¿Ella? / ¿Él? (input only)</t>
  </si>
  <si>
    <t>Mini biographies (2–3 lines).
Third-person workplace profiles (HR-style).
Short descriptive dialogues between two people talking about a coworker.
Character cards (profile format) (Only if I can talk to the team so we use an image).</t>
  </si>
  <si>
    <t>Teach explicitly:
Capitalization of nationalities used as adjectives in forms.
Accent marks in él (pronoun) vs el (article).
Accents in: número, teléfono, país, nacionalidad, correo electrónico.
Expose:
Two-surname structure (briefly, through examples).</t>
  </si>
  <si>
    <t>Intonation of descriptive statements (flat, declarative).</t>
  </si>
  <si>
    <t>Talking about coworkers in a professional, respectful way (Latin American context).
Workplace profiles.</t>
  </si>
  <si>
    <r>
      <rPr>
        <rFont val="Arial"/>
        <color theme="1"/>
        <sz val="12.0"/>
      </rPr>
      <t xml:space="preserve">List the words all words you want to cover during </t>
    </r>
    <r>
      <rPr>
        <rFont val="Arial"/>
        <b/>
        <color theme="1"/>
        <sz val="12.0"/>
      </rPr>
      <t>warm-up</t>
    </r>
    <r>
      <rPr>
        <rFont val="Arial"/>
        <color theme="1"/>
        <sz val="12.0"/>
      </rPr>
      <t xml:space="preserve">. </t>
    </r>
  </si>
  <si>
    <r>
      <rPr>
        <rFont val="Arial"/>
        <b/>
        <color theme="1"/>
        <sz val="12.0"/>
      </rPr>
      <t xml:space="preserve">ES_A1_diego_mini_biography – Diego Mini Biography
</t>
    </r>
    <r>
      <rPr>
        <rFont val="Arial"/>
        <color theme="1"/>
        <sz val="12.0"/>
      </rPr>
      <t xml:space="preserve"> (Esteban narrates)
Diego Ferreira es de Brasil.
 Es diseñador gráfico y tiene veintiséis años.
 Vive en Medellín, Colombia.
 Le gusta crear ideas visuales.
</t>
    </r>
    <r>
      <rPr>
        <rFont val="Arial"/>
        <b/>
        <color theme="1"/>
        <sz val="12.0"/>
      </rPr>
      <t>Dialogue 1 — Elena asks Esteban about Diego</t>
    </r>
    <r>
      <rPr>
        <rFont val="Arial"/>
        <color theme="1"/>
        <sz val="12.0"/>
      </rPr>
      <t xml:space="preserve">
 </t>
    </r>
    <r>
      <rPr>
        <rFont val="Arial"/>
        <b/>
        <color theme="1"/>
        <sz val="12.0"/>
      </rPr>
      <t xml:space="preserve">ES_A1_elena_asks_esteban_about_diego_dialogue
</t>
    </r>
    <r>
      <rPr>
        <rFont val="Arial"/>
        <color theme="1"/>
        <sz val="12.0"/>
      </rPr>
      <t xml:space="preserve">
 Elena: ¿Cómo se llama tu nuevo compañero de trabajo?
 Esteban: Se llama Diego Ferreira.
 Elena: ¿Es de Brasil?
 Esteban: Si, es brasileño.
 Elena: ¿Qué edad tiene?
 Esteban: Tiene veintiséis años.
</t>
    </r>
    <r>
      <rPr>
        <rFont val="Arial"/>
        <b/>
        <color theme="1"/>
        <sz val="12.0"/>
      </rPr>
      <t xml:space="preserve">ES_A1_valeria_mini_biography – Valeria Mini Biography
</t>
    </r>
    <r>
      <rPr>
        <rFont val="Arial"/>
        <color theme="1"/>
        <sz val="12.0"/>
      </rPr>
      <t xml:space="preserve">(Julieta narrates)
Valeria Méndez es de República Dominicana.
 Es product owner y tiene treinta y cuatro años.
 Vive en Medellín, Colombia.
 Le gusta organizar productos y equipos.
</t>
    </r>
    <r>
      <rPr>
        <rFont val="Arial"/>
        <b/>
        <color theme="1"/>
        <sz val="12.0"/>
      </rPr>
      <t xml:space="preserve">Dialogue 2 — Mateo asks Julieta about Valeria
 ES_A1_mateo_asks_julieta_about_valeria_dialogue
</t>
    </r>
    <r>
      <rPr>
        <rFont val="Arial"/>
        <color theme="1"/>
        <sz val="12.0"/>
      </rPr>
      <t xml:space="preserve">
Mateo: ¿Cómo se llama tu colega?
Julieta: Se llama Valeria Méndez.
Mateo: ¿Dónde vive Valeria?
Julieta: Ella vive en Medellín, Colombia.
</t>
    </r>
    <r>
      <rPr>
        <rFont val="Arial"/>
        <b/>
        <color theme="1"/>
        <sz val="12.0"/>
      </rPr>
      <t>Mateo: ¿Es product owner?
Julieta: Sí, es product owner.</t>
    </r>
    <r>
      <rPr>
        <rFont val="Arial"/>
        <color theme="1"/>
        <sz val="12.0"/>
      </rPr>
      <t xml:space="preserve">
Mateo: ¿Qué le gusta sobre su trabajo?
Julieta: Le gusta organizar productos y equipos.
</t>
    </r>
    <r>
      <rPr>
        <rFont val="Arial"/>
        <b/>
        <color theme="1"/>
        <sz val="12.0"/>
      </rPr>
      <t>ES_A1_marisol_mini_biography – Marisol Mini Biography</t>
    </r>
    <r>
      <rPr>
        <rFont val="Arial"/>
        <color theme="1"/>
        <sz val="12.0"/>
      </rPr>
      <t xml:space="preserve">
(Basti narrates)
Marisol Acevedo es de México.
 Es ingeniera de control de calidad y tiene cuarenta y un años.
 Vive en Ciudad de México.
 Le gusta revisar detalles y ayudar al equipo.
</t>
    </r>
    <r>
      <rPr>
        <rFont val="Arial"/>
        <b/>
        <color theme="1"/>
        <sz val="12.0"/>
      </rPr>
      <t xml:space="preserve">
Dialogue 3 — Camila asks Basti about Marisol</t>
    </r>
    <r>
      <rPr>
        <rFont val="Arial"/>
        <color theme="1"/>
        <sz val="12.0"/>
      </rPr>
      <t xml:space="preserve">
</t>
    </r>
    <r>
      <rPr>
        <rFont val="Arial"/>
        <b/>
        <color theme="1"/>
        <sz val="12.0"/>
      </rPr>
      <t xml:space="preserve"> ES_A1_camila_asks_basti_about_marisol_dialogue
</t>
    </r>
    <r>
      <rPr>
        <rFont val="Arial"/>
        <color theme="1"/>
        <sz val="12.0"/>
      </rPr>
      <t xml:space="preserve">
 Camila: ¿Cómo se llama ella?
 Basti: Se llama Marisol Acevedo.
 Camila: ¿Es de Colombia?
 Basti: No, es de México.
 Camila: ¿Cuál es su profesión?
 Basti: Es ingeniera de control de calidad.</t>
    </r>
  </si>
  <si>
    <t>When generating the scripts make sure to use the dialogue scene creator to create an effect like this one</t>
  </si>
  <si>
    <r>
      <rPr>
        <rFont val="Arial"/>
        <color theme="1"/>
        <sz val="12.0"/>
      </rPr>
      <t xml:space="preserve">
</t>
    </r>
    <r>
      <rPr>
        <rFont val="Arial"/>
        <b/>
        <color theme="1"/>
        <sz val="12.0"/>
      </rPr>
      <t xml:space="preserve">ES_A1_noelia_mini_biography – Noelia Mini Biography
</t>
    </r>
    <r>
      <rPr>
        <rFont val="Arial"/>
        <color theme="1"/>
        <sz val="12.0"/>
      </rPr>
      <t xml:space="preserve">(Luna Narrates) 
 Noelia Fonseca es de Panamá.
 Es gerente de proyectos y tiene treinta y ocho años.
 Vive en Medellín, Colombia.
 Le gusta organizar tareas y horarios.
</t>
    </r>
    <r>
      <rPr>
        <rFont val="Arial"/>
        <b/>
        <color theme="1"/>
        <sz val="12.0"/>
      </rPr>
      <t>Questions about Noelia’s Mini Biography
ES_A1_questions_about_noelia_mini_biography</t>
    </r>
    <r>
      <rPr>
        <rFont val="Arial"/>
        <color theme="1"/>
        <sz val="12.0"/>
      </rPr>
      <t xml:space="preserve">
(Julieta asks) 
¿Cómo se llama?
¿De dónde es?
¿Cúal es su profesión?
¿Qué edad tiene?
¿Dónde vive?
¿Qué le gusta?</t>
    </r>
  </si>
  <si>
    <r>
      <rPr>
        <rFont val="Arial"/>
        <b/>
        <color theme="1"/>
        <sz val="12.0"/>
      </rPr>
      <t xml:space="preserve">ES_A1_carlos_workplace_profile – Carlos Workplace Profile
</t>
    </r>
    <r>
      <rPr>
        <rFont val="Arial"/>
        <color theme="1"/>
        <sz val="12.0"/>
      </rPr>
      <t xml:space="preserve">(Luna narrates)
Carlos Andrés Vélez es ingeniero de software senior en Andes Commerce.
Es colombiano y trabaja en la oficina de Medellín.
</t>
    </r>
    <r>
      <rPr>
        <rFont val="Arial"/>
        <b/>
        <color theme="1"/>
        <sz val="12.0"/>
      </rPr>
      <t>Su</t>
    </r>
    <r>
      <rPr>
        <rFont val="Arial"/>
        <color theme="1"/>
        <sz val="12.0"/>
      </rPr>
      <t xml:space="preserve"> correo es carlos.velez@andescommerce.com.
</t>
    </r>
    <r>
      <rPr>
        <rFont val="Arial"/>
        <b/>
        <color theme="1"/>
        <sz val="12.0"/>
      </rPr>
      <t>Su</t>
    </r>
    <r>
      <rPr>
        <rFont val="Arial"/>
        <color theme="1"/>
        <sz val="12.0"/>
      </rPr>
      <t xml:space="preserve"> número es 57 3.0.0 9.9.2 77.12.
</t>
    </r>
    <r>
      <rPr>
        <rFont val="Arial"/>
        <b/>
        <color theme="1"/>
        <sz val="12.0"/>
      </rPr>
      <t xml:space="preserve">Su </t>
    </r>
    <r>
      <rPr>
        <rFont val="Arial"/>
        <color theme="1"/>
        <sz val="12.0"/>
      </rPr>
      <t xml:space="preserve">usuario es carlos-velez.
</t>
    </r>
    <r>
      <rPr>
        <rFont val="Arial"/>
        <b/>
        <color theme="1"/>
        <sz val="12.0"/>
      </rPr>
      <t>Basti asks Luna about Carlos
ES_A1_Basti_asks_luna_about_carlos_dialogue</t>
    </r>
    <r>
      <rPr>
        <rFont val="Arial"/>
        <color theme="1"/>
        <sz val="12.0"/>
      </rPr>
      <t xml:space="preserve">
Basti: ¿Cómo se llama el ingeniero de software senior?
Luna: Se llama Carlos Andrés Vélez.
Basti: ¿Dónde trabaja?
Luna: Trabaja en la oficina de Medellín.
Basti: ¿Cuál es su correo electrónico?
Luna: </t>
    </r>
    <r>
      <rPr>
        <rFont val="Arial"/>
        <b/>
        <color theme="1"/>
        <sz val="12.0"/>
      </rPr>
      <t>Su</t>
    </r>
    <r>
      <rPr>
        <rFont val="Arial"/>
        <color theme="1"/>
        <sz val="12.0"/>
      </rPr>
      <t xml:space="preserve"> correo es carlos.velez@andescommerce.com
</t>
    </r>
    <r>
      <rPr>
        <rFont val="Arial"/>
        <b/>
        <color theme="1"/>
        <sz val="12.0"/>
      </rPr>
      <t>ES_A1_luis_workplace_profile – Luis Workplace Profile</t>
    </r>
    <r>
      <rPr>
        <rFont val="Arial"/>
        <color theme="1"/>
        <sz val="12.0"/>
      </rPr>
      <t xml:space="preserve">
(Angela - narrates)
Luis Ignacio Torres trabaja en aprendizaje y desarrollo en Andes Commerce.
Es argentino y trabaja en la oficina de Medellín.
Su correo es luis.torres@andescommerce.com.
Su número es +57 304 551 8890.
Su usuario es luis_torres.
</t>
    </r>
    <r>
      <rPr>
        <rFont val="Arial"/>
        <b/>
        <color theme="1"/>
        <sz val="12.0"/>
      </rPr>
      <t>Dialogue — Esteban asks Ángela about Luis
ES_A1_esteban_asks_angela_about_luis_dialogue</t>
    </r>
    <r>
      <rPr>
        <rFont val="Arial"/>
        <color theme="1"/>
        <sz val="12.0"/>
      </rPr>
      <t xml:space="preserve">
Esteban: ¿Donde trabaja el especialista de aprendizaje y desarrollo?
Ángela: Trabaja en la oficina de Medellín.
Esteban: ¿Cuál es su número de teléfono?
Ángela: Su número es 57 304 551 8890.
Esteban: ¿Y su usuario?
Ángela: Es luis_torres</t>
    </r>
  </si>
  <si>
    <r>
      <rPr>
        <rFont val="Arial"/>
        <b/>
        <color theme="1"/>
        <sz val="12.0"/>
      </rPr>
      <t xml:space="preserve">ES_A1_joaquin_workplace_profile – Joaquín Workplace Profile
</t>
    </r>
    <r>
      <rPr>
        <rFont val="Arial"/>
        <color theme="1"/>
        <sz val="12.0"/>
      </rPr>
      <t xml:space="preserve">[Mateo narrates]
Joaquín Reyes es Ingeniero de Procesamiento de Lenguaje Natural en Andes Commerce.
Es venezolano y trabaja en la oficina de Medellín.
Su correo es joaquin.reyes@andescommerce.com.
Su número es +57 3.0.5 4.4.3 29.0.1.
Su usuario es joaquin-reyes.
</t>
    </r>
    <r>
      <rPr>
        <rFont val="Arial"/>
        <b/>
        <color theme="1"/>
        <sz val="12.0"/>
      </rPr>
      <t>ES_A1_questions_about_joaquin_workplace_profile - Questions about Joaquin workplace profile</t>
    </r>
    <r>
      <rPr>
        <rFont val="Arial"/>
        <color theme="1"/>
        <sz val="12.0"/>
      </rPr>
      <t xml:space="preserve">
[Esteban asks questions]
¿Cómo se llama él?
¿Cuál es su profesión?
¿De dónde es?
¿Dónde trabaja?
¿Trabaja en la oficina de Medellín?
¿Cuál es su correo electrónico?
¿Cuál es su número de teléfono?
¿Cuál es su usuario?</t>
    </r>
  </si>
  <si>
    <t>Used in</t>
  </si>
  <si>
    <t>Text name</t>
  </si>
  <si>
    <t>Audio file name on CDN</t>
  </si>
  <si>
    <t>Female</t>
  </si>
  <si>
    <t>Male</t>
  </si>
  <si>
    <t>Alphabet</t>
  </si>
  <si>
    <t>ES_A1_alphabet.mp3</t>
  </si>
  <si>
    <t>None</t>
  </si>
  <si>
    <t>Alphabet practice</t>
  </si>
  <si>
    <t>ES_A1_alphabet_practice.mp3</t>
  </si>
  <si>
    <t>First questions numbers</t>
  </si>
  <si>
    <t>ES_A1_first_questions_numbers</t>
  </si>
  <si>
    <t>First questions numbers Warm up</t>
  </si>
  <si>
    <t>ES_A1_first_questions_numbers_warmup</t>
  </si>
  <si>
    <t>Vowels aiu</t>
  </si>
  <si>
    <t>ES_A1_vowels_aiu</t>
  </si>
  <si>
    <t>Vowels oiu</t>
  </si>
  <si>
    <t>ES_A1_vowels_oiu</t>
  </si>
  <si>
    <t>Vowels uae</t>
  </si>
  <si>
    <t>ES_A1_vowels_uae</t>
  </si>
  <si>
    <t>ES_A1_vowels</t>
  </si>
  <si>
    <t>Spanish Fundamentals, Basic Personal Details</t>
  </si>
  <si>
    <t>Numbers 0 to 9</t>
  </si>
  <si>
    <t>ES_A1_spanish_fundamentals_numbers_0_9</t>
  </si>
  <si>
    <t>ES_A1_spanish_fundamentals_numbers_mixed</t>
  </si>
  <si>
    <t>ES_A1_basic_personal_details_numbers_10_29</t>
  </si>
  <si>
    <t>Numbers 10 to 29 mixed</t>
  </si>
  <si>
    <t>ES_A1_basic_personal_details_numbers_mixed</t>
  </si>
  <si>
    <t>ES_A1_luna_personal_data_form.mp3</t>
  </si>
  <si>
    <t>Luna</t>
  </si>
  <si>
    <t>ES_A1_mateo_camila_phone_number_dialogue.mp3</t>
  </si>
  <si>
    <t>Camila</t>
  </si>
  <si>
    <t>Mateo</t>
  </si>
  <si>
    <t>ES_A1_mateo_email_dialogue_with_camila.mp3</t>
  </si>
  <si>
    <t>Basti’s Short Personal Details</t>
  </si>
  <si>
    <t>ES_A1_basti_personal_details</t>
  </si>
  <si>
    <t>Basti</t>
  </si>
  <si>
    <t>Julieta’s Personal Details</t>
  </si>
  <si>
    <t>ES_A1_julieta_personal_details</t>
  </si>
  <si>
    <t>Julieta</t>
  </si>
  <si>
    <t>ES_A1_personal_details_just_questions.mp3</t>
  </si>
  <si>
    <t>Esteban Personal Records dialogue with Angela</t>
  </si>
  <si>
    <t>ES_A1_esteban_personal_records_dialogue_with_angela.mp3</t>
  </si>
  <si>
    <t>Angela</t>
  </si>
  <si>
    <t>Esteban</t>
  </si>
  <si>
    <t>Greeting in the evening</t>
  </si>
  <si>
    <t>ES_A1_spanish_greetings_in_the_evening</t>
  </si>
  <si>
    <t>Greetings in the morning</t>
  </si>
  <si>
    <t>ES_A1_spanish_greetings_in_the_morning</t>
  </si>
  <si>
    <t>Elena</t>
  </si>
  <si>
    <t>Meet Camila and Mateo</t>
  </si>
  <si>
    <t>ES_A1_spanish_meet_camila_and_mateo</t>
  </si>
  <si>
    <t>ES_A1_spanish_meet_luna</t>
  </si>
  <si>
    <t>Greeting in the afternoon</t>
  </si>
  <si>
    <t>ES_A1_spanish_greetings_in_the_afternoon</t>
  </si>
  <si>
    <t>Greettings writing practice</t>
  </si>
  <si>
    <t>ES_A1_spanish_greetings_camila_practice.mp3</t>
  </si>
  <si>
    <t>Introduce Yourself vocabulary</t>
  </si>
  <si>
    <t>ES_A1_spanish_introducing_yourself_vocabulary.mp3</t>
  </si>
  <si>
    <t>ES_A1_spanish_meet_angela_and_basti</t>
  </si>
  <si>
    <t>ES_A1_spanish_meet_julieta</t>
  </si>
  <si>
    <t>Introduce Yourself Practice</t>
  </si>
  <si>
    <t>ES_A1_spanish_meet_mateo_practice</t>
  </si>
  <si>
    <t>ES_A1_spanish_meet_mateo</t>
  </si>
  <si>
    <t>Module Warm-up</t>
  </si>
  <si>
    <t>ES_A1_warm_up_describing_people_at_work.mp3‎</t>
  </si>
  <si>
    <t>Numbers 21 to 100</t>
  </si>
  <si>
    <t>ES_A1_describing_company_and_people_numbers_21_100</t>
  </si>
  <si>
    <t>Numbers 75 62 63 64 91 93 96 100 40 44 47 73 71 72 79 80</t>
  </si>
  <si>
    <t>ES_A1_describing_company_and_people_numbers_practice</t>
  </si>
  <si>
    <t>Describind a company basics vocabulary</t>
  </si>
  <si>
    <t>ES_A1_describing_a_company_basics_vocabulary.mp3</t>
  </si>
  <si>
    <t>ES_A1_what_the_company_does</t>
  </si>
  <si>
    <t>Company departments and employees</t>
  </si>
  <si>
    <t>ES_A1_company_departments_and_employees</t>
  </si>
  <si>
    <t>Sebastián asks Elena about her company</t>
  </si>
  <si>
    <t>ES_A1_sebastian_asks_elena_about_her_company</t>
  </si>
  <si>
    <t>Elena talks about her company</t>
  </si>
  <si>
    <t>ES_A1_elena_talks_about_her_company</t>
  </si>
  <si>
    <t>Short company facts</t>
  </si>
  <si>
    <t>ES_A1_company_facts_short</t>
  </si>
  <si>
    <t>Company details fill in</t>
  </si>
  <si>
    <t>ES_A1_company_details_fill_in</t>
  </si>
  <si>
    <t>Diego Mini Biography</t>
  </si>
  <si>
    <t>ES_A1_diego_mini_biography</t>
  </si>
  <si>
    <t>Diego</t>
  </si>
  <si>
    <t>Elena asks Esteban about Diego</t>
  </si>
  <si>
    <t xml:space="preserve">ES_A1_elena_asks_esteban_about_diego_dialogue
</t>
  </si>
  <si>
    <t>Valeria Mini Biography</t>
  </si>
  <si>
    <t>ES_A1_valeria_mini_biography</t>
  </si>
  <si>
    <t>Valéria</t>
  </si>
  <si>
    <t>Mateo asks Julieta about Valeria</t>
  </si>
  <si>
    <t>ES_A1_mateo_asks_julieta_about_valeria_dialogue</t>
  </si>
  <si>
    <t>Marisol Mini Biography</t>
  </si>
  <si>
    <t>ES_A1_marisol_mini_biography</t>
  </si>
  <si>
    <t>Marisol</t>
  </si>
  <si>
    <t>Noelia Mini Biography</t>
  </si>
  <si>
    <t>ES_A1_noelia_mini_biography</t>
  </si>
  <si>
    <t>Noélia</t>
  </si>
  <si>
    <t>Questions about Noelia’s Mini Biography</t>
  </si>
  <si>
    <t>ES_A1_questions_about_noelia_mini_biography</t>
  </si>
  <si>
    <t>Basti asks Luna about Carlos</t>
  </si>
  <si>
    <t>ES_A1_Basti_asks_luna_about_carlos_dialogue</t>
  </si>
  <si>
    <t>Luis Nacho Workplace Profile</t>
  </si>
  <si>
    <t xml:space="preserve">ES_A1_luis_nacho_workplace_profile </t>
  </si>
  <si>
    <t>Luís</t>
  </si>
  <si>
    <t>Questions about Joaquin workplace profile</t>
  </si>
  <si>
    <t>ES_A1_questions_about_joaquin_workplace_profile</t>
  </si>
  <si>
    <t>Joaquín</t>
  </si>
  <si>
    <t>Camila asks Basti about Marisol</t>
  </si>
  <si>
    <t>ES_A1_camila_asks_basti_about_marisol_dialogue</t>
  </si>
  <si>
    <t>Carlos Workplace Profile</t>
  </si>
  <si>
    <t>ES_A1_carlos_workplace_profile</t>
  </si>
  <si>
    <t>Carlos</t>
  </si>
  <si>
    <t>Esteban asks Ángela about Luis</t>
  </si>
  <si>
    <t>ES_A1_esteban_asks_angela_about_luis_dialogue</t>
  </si>
  <si>
    <t>Joaquín Workplace Profile</t>
  </si>
  <si>
    <t>ES_A1_joaquin_workplace_profile</t>
  </si>
  <si>
    <t>AndesCommerce company profile</t>
  </si>
  <si>
    <t>ES_A1_andescommerce_company_profile</t>
  </si>
  <si>
    <t>Chapter Title Objective</t>
  </si>
  <si>
    <t>Write the overall learning goal for the entire chapter.
For example, if you are working on Block 1, state the goals you want learners to achieve by the end of Block 1.</t>
  </si>
  <si>
    <t>Module 1 title</t>
  </si>
  <si>
    <r>
      <rPr>
        <rFont val="Arial"/>
        <color theme="1"/>
        <sz val="12.0"/>
      </rPr>
      <t xml:space="preserve">Write the </t>
    </r>
    <r>
      <rPr>
        <rFont val="Arial"/>
        <b/>
        <color theme="1"/>
        <sz val="12.0"/>
      </rPr>
      <t>specific learning goals</t>
    </r>
    <r>
      <rPr>
        <rFont val="Arial"/>
        <color theme="1"/>
        <sz val="12.0"/>
      </rPr>
      <t xml:space="preserve"> for the Module you are working on. A </t>
    </r>
    <r>
      <rPr>
        <rFont val="Arial"/>
        <b/>
        <color theme="1"/>
        <sz val="12.0"/>
      </rPr>
      <t>Module</t>
    </r>
    <r>
      <rPr>
        <rFont val="Arial"/>
        <color theme="1"/>
        <sz val="12.0"/>
      </rPr>
      <t xml:space="preserve"> is a group of blocks related to the </t>
    </r>
    <r>
      <rPr>
        <rFont val="Arial"/>
        <b/>
        <color theme="1"/>
        <sz val="12.0"/>
      </rPr>
      <t>base material</t>
    </r>
    <r>
      <rPr>
        <rFont val="Arial"/>
        <color theme="1"/>
        <sz val="12.0"/>
      </rPr>
      <t xml:space="preserve">.
When writing section objectives, make sure they follow the SMART goals framework:
</t>
    </r>
    <r>
      <rPr>
        <rFont val="Arial"/>
        <b/>
        <color theme="1"/>
        <sz val="12.0"/>
      </rPr>
      <t xml:space="preserve">Specific: </t>
    </r>
    <r>
      <rPr>
        <rFont val="Arial"/>
        <color theme="1"/>
        <sz val="12.0"/>
      </rPr>
      <t xml:space="preserve">Focus on one clear skill or knowledge area.
</t>
    </r>
    <r>
      <rPr>
        <rFont val="Arial"/>
        <b/>
        <color theme="1"/>
        <sz val="12.0"/>
      </rPr>
      <t>Measurable:</t>
    </r>
    <r>
      <rPr>
        <rFont val="Arial"/>
        <color theme="1"/>
        <sz val="12.0"/>
      </rPr>
      <t xml:space="preserve"> Learners’ progress can be checked (e.g., quiz score, completed task).
</t>
    </r>
    <r>
      <rPr>
        <rFont val="Arial"/>
        <b/>
        <color theme="1"/>
        <sz val="12.0"/>
      </rPr>
      <t xml:space="preserve">Achievable: </t>
    </r>
    <r>
      <rPr>
        <rFont val="Arial"/>
        <color theme="1"/>
        <sz val="12.0"/>
      </rPr>
      <t xml:space="preserve">Realistic for the learner’s level.
</t>
    </r>
    <r>
      <rPr>
        <rFont val="Arial"/>
        <b/>
        <color theme="1"/>
        <sz val="12.0"/>
      </rPr>
      <t xml:space="preserve">Relevant: </t>
    </r>
    <r>
      <rPr>
        <rFont val="Arial"/>
        <color theme="1"/>
        <sz val="12.0"/>
      </rPr>
      <t xml:space="preserve">Directly tied to the key material in this section.
</t>
    </r>
    <r>
      <rPr>
        <rFont val="Arial"/>
        <b/>
        <color theme="1"/>
        <sz val="12.0"/>
      </rPr>
      <t xml:space="preserve">Time-bound: </t>
    </r>
    <r>
      <rPr>
        <rFont val="Arial"/>
        <color theme="1"/>
        <sz val="12.0"/>
      </rPr>
      <t xml:space="preserve">Should be reached by the end of the section.
Always start objectives with action-oriented verbs that describe observable behavior. Avoid vague words like understand or learn, since they are hard to measure. Instead, use verbs such as:
</t>
    </r>
    <r>
      <rPr>
        <rFont val="Arial"/>
        <b/>
        <color theme="1"/>
        <sz val="12.0"/>
      </rPr>
      <t>Lower-level skills:</t>
    </r>
    <r>
      <rPr>
        <rFont val="Arial"/>
        <color theme="1"/>
        <sz val="12.0"/>
      </rPr>
      <t xml:space="preserve"> identify, list, define, describe, match, recognize.
</t>
    </r>
    <r>
      <rPr>
        <rFont val="Arial"/>
        <b/>
        <color theme="1"/>
        <sz val="12.0"/>
      </rPr>
      <t>Application skills:</t>
    </r>
    <r>
      <rPr>
        <rFont val="Arial"/>
        <color theme="1"/>
        <sz val="12.0"/>
      </rPr>
      <t xml:space="preserve"> apply, demonstrate, complete, use, solve, perform.
</t>
    </r>
    <r>
      <rPr>
        <rFont val="Arial"/>
        <b/>
        <color theme="1"/>
        <sz val="12.0"/>
      </rPr>
      <t>Higher-level skills:</t>
    </r>
    <r>
      <rPr>
        <rFont val="Arial"/>
        <color theme="1"/>
        <sz val="12.0"/>
      </rPr>
      <t xml:space="preserve"> analyze, compare, create, design, evaluate.
For example, for Module 1: Instead of writing a vague objective like “Students will learn greetings”, use a SMART objective:
“By the end of this module, learners will be able to </t>
    </r>
    <r>
      <rPr>
        <rFont val="Arial"/>
        <b/>
        <color theme="1"/>
        <sz val="12.0"/>
      </rPr>
      <t>use</t>
    </r>
    <r>
      <rPr>
        <rFont val="Arial"/>
        <color theme="1"/>
        <sz val="12.0"/>
      </rPr>
      <t xml:space="preserve"> three basic greetings (‘Hola,’ ‘Buenos días,’ ‘Buenas noches’) in the correct context.”
You can separate the objectives by listening, reading and writing.</t>
    </r>
  </si>
  <si>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</si>
  <si>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r>
      <rPr>
        <rFont val="Arial"/>
        <color theme="1"/>
        <sz val="12.0"/>
      </rPr>
      <t xml:space="preserve">Use the formula =cellnumber from the </t>
    </r>
    <r>
      <rPr>
        <rFont val="Arial"/>
        <b/>
        <color theme="1"/>
        <sz val="12.0"/>
      </rPr>
      <t>Block</t>
    </r>
    <r>
      <rPr>
        <rFont val="Arial"/>
        <color theme="1"/>
        <sz val="12.0"/>
      </rPr>
      <t xml:space="preserve"> on the </t>
    </r>
    <r>
      <rPr>
        <rFont val="Arial"/>
        <b/>
        <color theme="1"/>
        <sz val="12.0"/>
      </rPr>
      <t>Chapter Status</t>
    </r>
    <r>
      <rPr>
        <rFont val="Arial"/>
        <color theme="1"/>
        <sz val="12.0"/>
      </rPr>
      <t xml:space="preserve"> tab.
Do the same to the following rows</t>
    </r>
  </si>
  <si>
    <r>
      <rPr>
        <rFont val="Arial"/>
        <color theme="1"/>
        <sz val="12.0"/>
      </rPr>
      <t xml:space="preserve">List the words all words you want to cover during </t>
    </r>
    <r>
      <rPr>
        <rFont val="Arial"/>
        <b/>
        <color theme="1"/>
        <sz val="12.0"/>
      </rPr>
      <t>warm-up</t>
    </r>
    <r>
      <rPr>
        <rFont val="Arial"/>
        <color theme="1"/>
        <sz val="12.0"/>
      </rPr>
      <t xml:space="preserve">. </t>
    </r>
  </si>
  <si>
    <t>Here you'll probably use all the base material from your learn blocks and suplementer writing material, if you have any.
You should mention them all here.</t>
  </si>
  <si>
    <t xml:space="preserve">Module 2                                                              </t>
  </si>
  <si>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</si>
  <si>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r>
      <rPr>
        <rFont val="Arial"/>
        <color theme="1"/>
        <sz val="12.0"/>
      </rPr>
      <t xml:space="preserve">Use the formula =cellnumber from the </t>
    </r>
    <r>
      <rPr>
        <rFont val="Arial"/>
        <b/>
        <color theme="1"/>
        <sz val="12.0"/>
      </rPr>
      <t>Block</t>
    </r>
    <r>
      <rPr>
        <rFont val="Arial"/>
        <color theme="1"/>
        <sz val="12.0"/>
      </rPr>
      <t xml:space="preserve"> on the </t>
    </r>
    <r>
      <rPr>
        <rFont val="Arial"/>
        <b/>
        <color theme="1"/>
        <sz val="12.0"/>
      </rPr>
      <t>Chapter Status</t>
    </r>
    <r>
      <rPr>
        <rFont val="Arial"/>
        <color theme="1"/>
        <sz val="12.0"/>
      </rPr>
      <t xml:space="preserve"> tab.
Do the same to the following rows</t>
    </r>
  </si>
  <si>
    <r>
      <rPr>
        <rFont val="Arial"/>
        <color theme="1"/>
        <sz val="12.0"/>
      </rPr>
      <t xml:space="preserve">List the words all words you want to cover during </t>
    </r>
    <r>
      <rPr>
        <rFont val="Arial"/>
        <b/>
        <color theme="1"/>
        <sz val="12.0"/>
      </rPr>
      <t>warm-up</t>
    </r>
    <r>
      <rPr>
        <rFont val="Arial"/>
        <color theme="1"/>
        <sz val="12.0"/>
      </rPr>
      <t xml:space="preserve">. </t>
    </r>
  </si>
  <si>
    <r>
      <rPr>
        <rFont val="Arial"/>
        <b/>
        <color rgb="FF1155CC"/>
        <sz val="12.0"/>
        <u/>
      </rPr>
      <t>Cultura</t>
    </r>
    <r>
      <rPr>
        <rFont val="Arial"/>
        <b/>
        <sz val="12.0"/>
      </rPr>
      <t xml:space="preserve">, </t>
    </r>
    <r>
      <rPr>
        <rFont val="Arial"/>
        <b/>
        <color rgb="FF1155CC"/>
        <sz val="12.0"/>
        <u/>
      </rPr>
      <t xml:space="preserve">saberes </t>
    </r>
    <r>
      <rPr>
        <rFont val="Arial"/>
        <b/>
        <sz val="12.0"/>
      </rPr>
      <t>y comportamientos</t>
    </r>
  </si>
  <si>
    <r>
      <rPr>
        <rFont val="Arial"/>
        <color theme="1"/>
        <sz val="12.0"/>
      </rPr>
      <t xml:space="preserve">Use the formula =cellnumber from the </t>
    </r>
    <r>
      <rPr>
        <rFont val="Arial"/>
        <b/>
        <color theme="1"/>
        <sz val="12.0"/>
      </rPr>
      <t>Block</t>
    </r>
    <r>
      <rPr>
        <rFont val="Arial"/>
        <color theme="1"/>
        <sz val="12.0"/>
      </rPr>
      <t xml:space="preserve"> on the </t>
    </r>
    <r>
      <rPr>
        <rFont val="Arial"/>
        <b/>
        <color theme="1"/>
        <sz val="12.0"/>
      </rPr>
      <t>Chapter Status</t>
    </r>
    <r>
      <rPr>
        <rFont val="Arial"/>
        <color theme="1"/>
        <sz val="12.0"/>
      </rPr>
      <t xml:space="preserve"> tab.
Do the same to the following rows</t>
    </r>
  </si>
  <si>
    <r>
      <rPr>
        <rFont val="Arial"/>
        <color theme="1"/>
        <sz val="12.0"/>
      </rPr>
      <t xml:space="preserve">List the words all words you want to cover during </t>
    </r>
    <r>
      <rPr>
        <rFont val="Arial"/>
        <b/>
        <color theme="1"/>
        <sz val="12.0"/>
      </rPr>
      <t>warm-up</t>
    </r>
    <r>
      <rPr>
        <rFont val="Arial"/>
        <color theme="1"/>
        <sz val="12.0"/>
      </rPr>
      <t xml:space="preserve">. </t>
    </r>
  </si>
  <si>
    <t>Character name</t>
  </si>
  <si>
    <t>Height</t>
  </si>
  <si>
    <t>Coordinates</t>
  </si>
  <si>
    <t>Ángela</t>
  </si>
  <si>
    <t>Short</t>
  </si>
  <si>
    <t>Tall</t>
  </si>
  <si>
    <t>y: 12  z: 1.5</t>
  </si>
  <si>
    <t>y: 25    z: 1.5</t>
  </si>
  <si>
    <t>Dialog scenes</t>
  </si>
  <si>
    <t>y: 17 z: 1.5</t>
  </si>
  <si>
    <t>Sebastián</t>
  </si>
  <si>
    <t>Noelia</t>
  </si>
  <si>
    <t>Valeria</t>
  </si>
  <si>
    <t>Luis</t>
  </si>
  <si>
    <t>René</t>
  </si>
  <si>
    <t>Short (?)</t>
  </si>
  <si>
    <t>Block 1 Introductions &amp; Basic Communication</t>
  </si>
  <si>
    <t>Block's Objective</t>
  </si>
  <si>
    <t>Write the overall learning goal for the entire block.
For example, if you are working on Block 1, state the goals you want learners to achieve by the end of Block 1.</t>
  </si>
  <si>
    <t>List the lessons inside the block here</t>
  </si>
  <si>
    <t>Lesson number - lesson name</t>
  </si>
  <si>
    <r>
      <rPr>
        <rFont val="Arial"/>
        <color theme="1"/>
        <sz val="12.0"/>
      </rPr>
      <t xml:space="preserve">Write the </t>
    </r>
    <r>
      <rPr>
        <rFont val="Arial"/>
        <b/>
        <color theme="1"/>
        <sz val="12.0"/>
      </rPr>
      <t>specific learning goals</t>
    </r>
    <r>
      <rPr>
        <rFont val="Arial"/>
        <color theme="1"/>
        <sz val="12.0"/>
      </rPr>
      <t xml:space="preserve"> for the section you are working on. A </t>
    </r>
    <r>
      <rPr>
        <rFont val="Arial"/>
        <b/>
        <color theme="1"/>
        <sz val="12.0"/>
      </rPr>
      <t>section</t>
    </r>
    <r>
      <rPr>
        <rFont val="Arial"/>
        <color theme="1"/>
        <sz val="12.0"/>
      </rPr>
      <t xml:space="preserve"> is a group of tasks related to the </t>
    </r>
    <r>
      <rPr>
        <rFont val="Arial"/>
        <b/>
        <color theme="1"/>
        <sz val="12.0"/>
      </rPr>
      <t>same key material</t>
    </r>
    <r>
      <rPr>
        <rFont val="Arial"/>
        <color theme="1"/>
        <sz val="12.0"/>
      </rPr>
      <t xml:space="preserve"> (base text).
For example, if you are designing tasks for Block 1, Dialogue 1, write the objectives specific to Dialogue 1 here.
When writing section objectives, make sure they follow the SMART goals framework:
</t>
    </r>
    <r>
      <rPr>
        <rFont val="Arial"/>
        <b/>
        <color theme="1"/>
        <sz val="12.0"/>
      </rPr>
      <t xml:space="preserve">Specific: </t>
    </r>
    <r>
      <rPr>
        <rFont val="Arial"/>
        <color theme="1"/>
        <sz val="12.0"/>
      </rPr>
      <t xml:space="preserve">Focus on one clear skill or knowledge area.
</t>
    </r>
    <r>
      <rPr>
        <rFont val="Arial"/>
        <b/>
        <color theme="1"/>
        <sz val="12.0"/>
      </rPr>
      <t>Measurable:</t>
    </r>
    <r>
      <rPr>
        <rFont val="Arial"/>
        <color theme="1"/>
        <sz val="12.0"/>
      </rPr>
      <t xml:space="preserve"> Learners’ progress can be checked (e.g., quiz score, completed task).
</t>
    </r>
    <r>
      <rPr>
        <rFont val="Arial"/>
        <b/>
        <color theme="1"/>
        <sz val="12.0"/>
      </rPr>
      <t xml:space="preserve">Achievable: </t>
    </r>
    <r>
      <rPr>
        <rFont val="Arial"/>
        <color theme="1"/>
        <sz val="12.0"/>
      </rPr>
      <t xml:space="preserve">Realistic for the learner’s level.
</t>
    </r>
    <r>
      <rPr>
        <rFont val="Arial"/>
        <b/>
        <color theme="1"/>
        <sz val="12.0"/>
      </rPr>
      <t xml:space="preserve">Relevant: </t>
    </r>
    <r>
      <rPr>
        <rFont val="Arial"/>
        <color theme="1"/>
        <sz val="12.0"/>
      </rPr>
      <t xml:space="preserve">Directly tied to the key material in this section.
</t>
    </r>
    <r>
      <rPr>
        <rFont val="Arial"/>
        <b/>
        <color theme="1"/>
        <sz val="12.0"/>
      </rPr>
      <t xml:space="preserve">Time-bound: </t>
    </r>
    <r>
      <rPr>
        <rFont val="Arial"/>
        <color theme="1"/>
        <sz val="12.0"/>
      </rPr>
      <t xml:space="preserve">Should be reached by the end of the section.
Always start objectives with action-oriented verbs that describe observable behavior. Avoid vague words like understand or learn, since they are hard to measure. Instead, use verbs such as:
</t>
    </r>
    <r>
      <rPr>
        <rFont val="Arial"/>
        <b/>
        <color theme="1"/>
        <sz val="12.0"/>
      </rPr>
      <t>Lower-level skills:</t>
    </r>
    <r>
      <rPr>
        <rFont val="Arial"/>
        <color theme="1"/>
        <sz val="12.0"/>
      </rPr>
      <t xml:space="preserve"> identify, list, define, describe, match, recognize.
</t>
    </r>
    <r>
      <rPr>
        <rFont val="Arial"/>
        <b/>
        <color theme="1"/>
        <sz val="12.0"/>
      </rPr>
      <t>Application skills:</t>
    </r>
    <r>
      <rPr>
        <rFont val="Arial"/>
        <color theme="1"/>
        <sz val="12.0"/>
      </rPr>
      <t xml:space="preserve"> apply, demonstrate, complete, use, solve, perform.
</t>
    </r>
    <r>
      <rPr>
        <rFont val="Arial"/>
        <b/>
        <color theme="1"/>
        <sz val="12.0"/>
      </rPr>
      <t>Higher-level skills:</t>
    </r>
    <r>
      <rPr>
        <rFont val="Arial"/>
        <color theme="1"/>
        <sz val="12.0"/>
      </rPr>
      <t xml:space="preserve"> analyze, compare, create, design, evaluate.
For example, for Block 1, Dialogue 1: Instead of writing a vague objective like “Students will learn greetings”, use a SMART objective:
“By the end of this section, learners will be able to </t>
    </r>
    <r>
      <rPr>
        <rFont val="Arial"/>
        <b/>
        <color theme="1"/>
        <sz val="12.0"/>
      </rPr>
      <t>use</t>
    </r>
    <r>
      <rPr>
        <rFont val="Arial"/>
        <color theme="1"/>
        <sz val="12.0"/>
      </rPr>
      <t xml:space="preserve"> three basic greetings (‘Hola,’ ‘Buenos días,’ ‘Buenas noches’) in the correct context.”</t>
    </r>
  </si>
  <si>
    <t>Content</t>
  </si>
  <si>
    <t>Key words/sentences</t>
  </si>
  <si>
    <t>Texts</t>
  </si>
  <si>
    <t>Support material</t>
  </si>
  <si>
    <t>Paste the keywords / sentencess  you will be using for the entire section, or include a link to it.
Using the example above, here you would paste key words to preceed dialogue 1 of Block 1.</t>
  </si>
  <si>
    <t>Paste the text you will be using for the entire section, or include a link to it.
Using the example above, here you would paste Dialogue 1 of Block 1.</t>
  </si>
  <si>
    <t>If you'll use extra audios, images, or reading practices, list them here so you can prepare them before designing the lessons.
For example, if this section requires a review text, paste it here or provide a link to it.</t>
  </si>
  <si>
    <t>Plan curricular</t>
  </si>
  <si>
    <t>list of functions to be covered</t>
  </si>
  <si>
    <r>
      <rPr>
        <b/>
        <color rgb="FF1155CC"/>
        <sz val="12.0"/>
        <u/>
      </rPr>
      <t>Cultura</t>
    </r>
    <r>
      <rPr>
        <b/>
        <sz val="12.0"/>
      </rPr>
      <t xml:space="preserve">, </t>
    </r>
    <r>
      <rPr>
        <b/>
        <color rgb="FF1155CC"/>
        <sz val="12.0"/>
        <u/>
      </rPr>
      <t xml:space="preserve">saberes </t>
    </r>
    <r>
      <rPr>
        <b/>
        <sz val="12.0"/>
      </rPr>
      <t>y comportamientos</t>
    </r>
  </si>
  <si>
    <t>Lesson Structure</t>
  </si>
  <si>
    <t>Lessons stage</t>
  </si>
  <si>
    <t>Reading</t>
  </si>
  <si>
    <t>Listening</t>
  </si>
  <si>
    <t>Speaking</t>
  </si>
  <si>
    <t>Introduction</t>
  </si>
  <si>
    <t>Are you going to provide an introductory practice? if so, write a short plan here. This section is supposed to guide you when desiging the tasks</t>
  </si>
  <si>
    <t>Learning Activities</t>
  </si>
  <si>
    <t>List the tasks types you are planning to use when students are learning the content.</t>
  </si>
  <si>
    <t>Guided Practice</t>
  </si>
  <si>
    <t>Guided practice includes tasks where learners work with clear instructions, prompts, or scaffolds that direct their thinking step by step. The goal is to ensure they see how the concept works with support.</t>
  </si>
  <si>
    <t>Independent Practice</t>
  </si>
  <si>
    <t>Independent practice includes tasks where learners apply what they learned on their own, with little or no guidance. The goal is for them to demonstrate mastery independently.</t>
  </si>
  <si>
    <t>Review &amp; Wrap-Up</t>
  </si>
  <si>
    <t>If you section contains a review or wrap-up. describe it here</t>
  </si>
  <si>
    <t>Assessment</t>
  </si>
  <si>
    <t>Does your section contain assessments? If so, which skill will it use? how are you going to assess their success?</t>
  </si>
  <si>
    <t>Feedback Style</t>
  </si>
  <si>
    <t>Does it include performance feedback if so, how?</t>
  </si>
  <si>
    <t>Passing criteria</t>
  </si>
  <si>
    <t>What should they do to pass?</t>
  </si>
  <si>
    <t>Notes / Suport material</t>
  </si>
  <si>
    <t>If you want to add additional Observations / Optional Resources that's the place to plan it.</t>
  </si>
  <si>
    <t># Nivel A1</t>
  </si>
  <si>
    <t>###### 1.1.1. Nombres propios</t>
  </si>
  <si>
    <t>- [v. Ortografía 1.4.3.]</t>
  </si>
  <si>
    <t>- Antropónimos</t>
  </si>
  <si>
    <t>- Nombres de pila sin artículo</t>
  </si>
  <si>
    <t>- Examples/Notes:</t>
  </si>
  <si>
    <t>- María, Antonio</t>
  </si>
  <si>
    <t>- Hipocorísticos y diminutivos</t>
  </si>
  <si>
    <t>- Pepe (José), Paco (Francisco), Chelo (Consuelo), Lola (Dolores)</t>
  </si>
  <si>
    <t>- [Hispanoamérica] Chayo (Rosario), Chava (Isabel), Güicho (Luis), Pancho (Francisco)</t>
  </si>
  <si>
    <t>- Apellidos sin artículo</t>
  </si>
  <si>
    <t>- Fernández, González</t>
  </si>
  <si>
    <t>- Formas de tratamiento</t>
  </si>
  <si>
    <t>- el Sr. Fernández, (Don) Fernando</t>
  </si>
  <si>
    <t>- [Ecuador y Colombia] Don y doña + nombre / apellido sin connotación despreciativa. Uso exclusivo con sustantivo para ciertos estratos sociales</t>
  </si>
  <si>
    <t>- [República Dominicana] Su merced</t>
  </si>
  <si>
    <t>- Topónimos</t>
  </si>
  <si>
    <t>- Países sin artículo</t>
  </si>
  <si>
    <t>- España, Italia</t>
  </si>
  <si>
    <t>- Excepción: El Salvador</t>
  </si>
  <si>
    <t>- Ciudades y localidades</t>
  </si>
  <si>
    <t>- Madrid, París, Alcalá de Henares</t>
  </si>
  <si>
    <t>###### 1.1.2. Nombres comunes</t>
  </si>
  <si>
    <t>- Nombres de periodos temporales</t>
  </si>
  <si>
    <t>- mediodía, tarde, noche</t>
  </si>
  <si>
    <t>## Clasificacion del género de los sustantivos para los niveles A1 y A2</t>
  </si>
  <si>
    <t>### A1</t>
  </si>
  <si>
    <t>- Masculino en _x0096_o y femenino en _x0096_a</t>
  </si>
  <si>
    <t>- amigo, vecino, libro</t>
  </si>
  <si>
    <t>- amiga, vecina, casa</t>
  </si>
  <si>
    <t>- Masculino / femenino</t>
  </si>
  <si>
    <t>- Vocales que no sean _x0096_o / _x0096_a</t>
  </si>
  <si>
    <t>- el peine, la muerte</t>
  </si>
  <si>
    <t>- Consonante</t>
  </si>
  <si>
    <t>- el árbol, la catedral, la solución, el corazón</t>
  </si>
  <si>
    <t>- Femenino en _x0096_o</t>
  </si>
  <si>
    <t>- Procedente de una abreviación</t>
  </si>
  <si>
    <t>- la moto / motocicleta, la foto / fotografía, la radio / radiodifusión</t>
  </si>
  <si>
    <t>- Heteronimia</t>
  </si>
  <si>
    <t>- el padre / la madre, el hombre / la mujer</t>
  </si>
  <si>
    <t>## Clasificacion del número de los sustantivos para los niveles A1 y A2</t>
  </si>
  <si>
    <t>- Terminación en vocal: plural _x0096_s</t>
  </si>
  <si>
    <t>- mesa / mesas, libro / libros</t>
  </si>
  <si>
    <t>- Terminación en consonante: plural _x0096_es</t>
  </si>
  <si>
    <t>- árbol / árboles, pared / paredes, tenedor /</t>
  </si>
  <si>
    <t>- tenedores</t>
  </si>
  <si>
    <t>- Terminación en _x0096_s. Monosílabos o sustantivos de acentuación aguda: plural _x0096_es</t>
  </si>
  <si>
    <t>- país / países</t>
  </si>
  <si>
    <t>- Significado del plural</t>
  </si>
  <si>
    <t>- Suma de individuos iguales: a + a +... + a</t>
  </si>
  <si>
    <t>- el coche / los coches</t>
  </si>
  <si>
    <t>## Clasificacion de los adjetivos para los niveles A1 y A2</t>
  </si>
  <si>
    <t>###### 2.1.1. Adjetivos calificativos</t>
  </si>
  <si>
    <t>- Función de complemento del nombre</t>
  </si>
  <si>
    <t>- el chico guapo</t>
  </si>
  <si>
    <t>- Función de atributo</t>
  </si>
  <si>
    <t>- El chico es guapo</t>
  </si>
  <si>
    <t>- Incompatibilidad con posesivos</t>
  </si>
  <si>
    <t>- *mi guapo</t>
  </si>
  <si>
    <t>###### 2.1.2. Adjetivos relacionales</t>
  </si>
  <si>
    <t>- Gentilicios muy frecuentes</t>
  </si>
  <si>
    <t>- español, francés, japonés</t>
  </si>
  <si>
    <t>## Clasificacion del género del adjetivo para los niveles A1 y A2</t>
  </si>
  <si>
    <t>- alto / alta</t>
  </si>
  <si>
    <t>- Masculino terminado en consonante y femenino terminado en _x0096_a: gentilicios</t>
  </si>
  <si>
    <t>- español / española, francés / francesa</t>
  </si>
  <si>
    <t>- Terminados en consonante</t>
  </si>
  <si>
    <t>- difícil, fácil</t>
  </si>
  <si>
    <t>- Gentilicios</t>
  </si>
  <si>
    <t>- marroquí, hindú</t>
  </si>
  <si>
    <t>## Clasificacion del número del adjetivo para los niveles A1 y A2</t>
  </si>
  <si>
    <t>- Terminados en vocal: plural _x0096_s</t>
  </si>
  <si>
    <t>- alto / altos, española / españolas</t>
  </si>
  <si>
    <t>- Terminados en consonante: plural_x0096_es</t>
  </si>
  <si>
    <t>- fácil / fáciles</t>
  </si>
  <si>
    <t>## Clasificacion de la posición del adjetivo para los niveles A1 y A2</t>
  </si>
  <si>
    <t>- Posición postnominal</t>
  </si>
  <si>
    <t>- Adjetivos especificativos o restrictivos</t>
  </si>
  <si>
    <t>- un chico guapo</t>
  </si>
  <si>
    <t>## Clasificacion de los grados del adjetivo para los niveles A1 y A2</t>
  </si>
  <si>
    <t>- Positivo</t>
  </si>
  <si>
    <t>- Superlativo</t>
  </si>
  <si>
    <t>- Superlativo absoluto con adverbio muy</t>
  </si>
  <si>
    <t>- muy guapo</t>
  </si>
  <si>
    <t>## Clasificacion del artículo definido para los niveles A1 y A2</t>
  </si>
  <si>
    <t>- Forma</t>
  </si>
  <si>
    <t>- Paradigma regular: el, la, los, las</t>
  </si>
  <si>
    <t>- Formas contractas: al, del</t>
  </si>
  <si>
    <t>- Distribución sintáctica</t>
  </si>
  <si>
    <t>- Restricciones debidas al tipo de sustantivo</t>
  </si>
  <si>
    <t>- Ausencia con nombre propio de persona: regla general</t>
  </si>
  <si>
    <t>- [v. Gramática 1.1.1.]</t>
  </si>
  <si>
    <t>- Restricciones por la presencia de otros determinantes</t>
  </si>
  <si>
    <t>- Primera posición del SN</t>
  </si>
  <si>
    <t>- la otra chica / *otra la chica</t>
  </si>
  <si>
    <t>- Imposibilidad de aparición de posesivos y demostrativos prenominales</t>
  </si>
  <si>
    <t>- *el este libro / *la mi hermana</t>
  </si>
  <si>
    <t>- Restricciones por la posición sintáctica</t>
  </si>
  <si>
    <t>- Obligatorio con sustantivo sujeto en construcciones con el verbo gustar</t>
  </si>
  <si>
    <t>- Me gusta la paella.</t>
  </si>
  <si>
    <t>- [v. Funciones 3.2.]</t>
  </si>
  <si>
    <t>- Incompatibilidad general con el verbo haber</t>
  </si>
  <si>
    <t>- *Ahí hay la mesa.</t>
  </si>
  <si>
    <t>- Compatibilidad con el verbo estar</t>
  </si>
  <si>
    <t>- Ahí está la mesa.</t>
  </si>
  <si>
    <t>- Incompatibilidad con el verbo saber</t>
  </si>
  <si>
    <t>- Sabe * el ruso / *la filosofía.</t>
  </si>
  <si>
    <t>## Clasificacion del artículo indefinido para los niveles A1 y A2</t>
  </si>
  <si>
    <t>- Paradigma regular: un, una, unos, unas</t>
  </si>
  <si>
    <t>- Valores / significado</t>
  </si>
  <si>
    <t>- Significado básico: indefinición. Primera mención (referentes nuevos)</t>
  </si>
  <si>
    <t>- Tengo un libro.</t>
  </si>
  <si>
    <t>- [v. Tácticas y estrategias pragmáticas</t>
  </si>
  <si>
    <t>###### 1.4.1. ]</t>
  </si>
  <si>
    <t>- Restricciones debidas al tipo de sustantivo. Incompatibilidad general con los nombres propios</t>
  </si>
  <si>
    <t>- *un Javier, *una España, *unos Correos</t>
  </si>
  <si>
    <t>- Restricciones debidas a otros componentes del SN. Incompatibilidad con demostrativos, numerales e indefinidos</t>
  </si>
  <si>
    <t>- *este un amigo, *un otro amigo</t>
  </si>
  <si>
    <t>## Clasificacion de la ausencia de determinación para los niveles A1 y A2</t>
  </si>
  <si>
    <t>- Incompatibilidad con el verbo gustar</t>
  </si>
  <si>
    <t>- *Me gusta paella.</t>
  </si>
  <si>
    <t>- Compatibilidad general con el verbo haber impersonal</t>
  </si>
  <si>
    <t>- Hay árboles en la plaza. No hay leche en la nevera</t>
  </si>
  <si>
    <t>## Clasificacion de los demostrativos para los niveles A1 y A2</t>
  </si>
  <si>
    <t>- Paradigma del masculino y del femenino singular y plural</t>
  </si>
  <si>
    <t>- este, esta, estos, estas</t>
  </si>
  <si>
    <t>- ese, esa, esos, esas</t>
  </si>
  <si>
    <t>- aquel, aquella, aquellos, aquellas</t>
  </si>
  <si>
    <t>- Forma del neutro singular</t>
  </si>
  <si>
    <t>- esto, eso, aquello</t>
  </si>
  <si>
    <t>- Posición inicial con verbos copulativos (</t>
  </si>
  <si>
    <t>- ser, estar)</t>
  </si>
  <si>
    <t>- Eso es un libro.</t>
  </si>
  <si>
    <t>- Deíctico espacial</t>
  </si>
  <si>
    <t>- estrategias pragmáticas 1.3.1.]</t>
  </si>
  <si>
    <t>- [v. Funciones 1.1., Tácticas y</t>
  </si>
  <si>
    <t>- Cercanía respecto al hablante y al oyente</t>
  </si>
  <si>
    <t>- este libro</t>
  </si>
  <si>
    <t>- Lejanía del hablante y del oyente</t>
  </si>
  <si>
    <t>- ese libro, aquel árbol</t>
  </si>
  <si>
    <t>- El referente es un objeto desconocido</t>
  </si>
  <si>
    <t>- ¿Qué es eso?</t>
  </si>
  <si>
    <t>###### 1.3.1. ]</t>
  </si>
  <si>
    <t>- Posición del demostrativo: delante del sustantivo</t>
  </si>
  <si>
    <t>- Incompatibilidad con el artículo</t>
  </si>
  <si>
    <t>- *el este</t>
  </si>
  <si>
    <t>- [v. Gramática 3.1., 3.2.]</t>
  </si>
  <si>
    <t>## Clasificacion de los posesivos para los niveles A1 y A2</t>
  </si>
  <si>
    <t>- Formas átonas. Un poseedor. Variación de número</t>
  </si>
  <si>
    <t>- mi, mis, tu, tus, su, sus</t>
  </si>
  <si>
    <t>- mi libro / mis libros</t>
  </si>
  <si>
    <t>- Formas tónicas y átonas. Varios poseedores</t>
  </si>
  <si>
    <t>- nuestro/a/os/as, vuestro/a/os/as, su/sus</t>
  </si>
  <si>
    <t>- Variación de género y número con formas tónicas de varios poseedores</t>
  </si>
  <si>
    <t>- nuestro libro / nuestros libros, nuestra llave</t>
  </si>
  <si>
    <t>- / nuestras llaves</t>
  </si>
  <si>
    <t>- Coincidencia formal de las formas átonas de 3.ª persona de singular y plural</t>
  </si>
  <si>
    <t>- su casa [de él / de ella / de ellos / de ellas]</t>
  </si>
  <si>
    <t>- Posición inicial de la forma átona</t>
  </si>
  <si>
    <t>- mi libro / *libro mi</t>
  </si>
  <si>
    <t>- mi camisa roja</t>
  </si>
  <si>
    <t>- Incapacidad para aparecer solo en formas átonas</t>
  </si>
  <si>
    <t>- _x0097_¿De quién es este libro?</t>
  </si>
  <si>
    <t>- _x0097_*Mi. / *Este libro es mi.</t>
  </si>
  <si>
    <t>- Incompatibilidad con adjetivos y con artículo en formas átonas</t>
  </si>
  <si>
    <t>- *mi interesante</t>
  </si>
  <si>
    <t>- *la mi amiga</t>
  </si>
  <si>
    <t>- Incompatibilidad con el verbo haber</t>
  </si>
  <si>
    <t>- *Hay mis amigos.</t>
  </si>
  <si>
    <t>## Clasificacion de los cuantificadores propios para los niveles A1 y A2</t>
  </si>
  <si>
    <t>- Numerales</t>
  </si>
  <si>
    <t>- Cardinales</t>
  </si>
  <si>
    <t>- dos, catorce, trescientos, quince mil</t>
  </si>
  <si>
    <t>- Variación de género y de número</t>
  </si>
  <si>
    <t>- doscientas personas, doscientos euros</t>
  </si>
  <si>
    <t>- [v. Ortografía 1.7.4.]</t>
  </si>
  <si>
    <t>- Ordinales, hasta 10.º</t>
  </si>
  <si>
    <t>- Variación de género</t>
  </si>
  <si>
    <t>- primero / primera, segundo / segunda</t>
  </si>
  <si>
    <t>- No universales</t>
  </si>
  <si>
    <t>- Afirmativos</t>
  </si>
  <si>
    <t>- Poco, mucho</t>
  </si>
  <si>
    <t>- Variación de género y número</t>
  </si>
  <si>
    <t>- Hace mucho calor. Tengo muchos amigos. Bastante</t>
  </si>
  <si>
    <t>- Variación de número</t>
  </si>
  <si>
    <t>- Hay bastante dinero. Tenemos bastantes problemas.</t>
  </si>
  <si>
    <t>## Clasificacion de los cuantificadores focales o presuposicionales para los niveles A1 y A2</t>
  </si>
  <si>
    <t>- Incluyentes</t>
  </si>
  <si>
    <t>- También, tampoco</t>
  </si>
  <si>
    <t>- Yo también soy alemán. Yo tampoco voy.</t>
  </si>
  <si>
    <t>- [v. Tácticas y estrategias pragmáticas 1.2.1., 1.2.4.]</t>
  </si>
  <si>
    <t>## Clasificacion del pronombre personal para los niveles A1 y A2</t>
  </si>
  <si>
    <t>###### 7.1.1. Pronombre sujeto</t>
  </si>
  <si>
    <t>- Paradigma de las tres personas gramaticales</t>
  </si>
  <si>
    <t>- yo, tú, él, nosotros, vosotros, ellos</t>
  </si>
  <si>
    <t>- Variación de género: 3.ª persona de singular y de plural; 1.ª y 2.ª personas de plural</t>
  </si>
  <si>
    <t>- él / ella, ellos / ellas</t>
  </si>
  <si>
    <t>- nosotros / nosotras</t>
  </si>
  <si>
    <t>- vosotros / vosotras</t>
  </si>
  <si>
    <t>- [Zonas voseantes de Hispanoamérica] Forma vos para 2.ª persona del singular. Coexistencia del tuteo con mayor o menor alternancia de formas con el voseo</t>
  </si>
  <si>
    <t>- [México, excepto Chiapas, y El Caribe] Uso exclusivo del tuteo</t>
  </si>
  <si>
    <t>- La forma usted / ustedes</t>
  </si>
  <si>
    <t>- [Hispanoamérica, España: variedades meridionales y Canarias] Uso exclusivo de la forma ustedes para la 2.ª persona del plural. Ausencia de las formas vosotros / as</t>
  </si>
  <si>
    <t>###### 3.1.1. ]</t>
  </si>
  <si>
    <t>- Presencia / ausencia</t>
  </si>
  <si>
    <t>- Ausencia. Norma general: sujeto innecesario o inaceptable (relación temática con el predicado)</t>
  </si>
  <si>
    <t>- Estudio español.</t>
  </si>
  <si>
    <t>- Yo estudio español.</t>
  </si>
  <si>
    <t>- [Hispanoamérica] Tendencia a utilizar sujetos pronominales</t>
  </si>
  <si>
    <t>- Presencia con valor de contraste</t>
  </si>
  <si>
    <t>- Yo soy Clara, ¿y tú?</t>
  </si>
  <si>
    <t>- [v. Funciones 1.1.]</t>
  </si>
  <si>
    <t>- Ausencia en oraciones impersonales con sujeto expletivo: verbo haber</t>
  </si>
  <si>
    <t>- Hay mucha gente.</t>
  </si>
  <si>
    <t>- Referente (+ humano). Uso del demostrativo para referirse a cosas</t>
  </si>
  <si>
    <t>- Hay una ventana. Esta (ventana) es grande. / *Hay una ventana. Ella es grande.</t>
  </si>
  <si>
    <t>- Referencia a los participantes del discurso</t>
  </si>
  <si>
    <t>- Noción de persona de los pronombres yo y tú</t>
  </si>
  <si>
    <t>- Nosotros inclusivo (incluye al oyente): yo + tú (+ eventualmente terceras personas)</t>
  </si>
  <si>
    <t>- Nosotros no inclusivo (excluye al oyente): yo + él / ella / ellos / ellas</t>
  </si>
  <si>
    <t>- Vosotros: un solo oyente (tú + tú + eventualmente terceras personas), varios oyentes (tú + él / ella / ellos / ellas)</t>
  </si>
  <si>
    <t>###### 7.1.2. Pronombres átonos de OD</t>
  </si>
  <si>
    <t>- Ausencia con hay</t>
  </si>
  <si>
    <t>- _x0097_¿Hay parques en tu barrio?</t>
  </si>
  <si>
    <t>- _x0097_Sí, hay.</t>
  </si>
  <si>
    <t>- Ausencia en respuestas a preguntas cuando el antecedente es un sustantivo sin determinante ni cuantificador (interpretación inespecífica)</t>
  </si>
  <si>
    <t>- _x0097_¿Tienes coche?</t>
  </si>
  <si>
    <t>- _x0097_No, no tengo.</t>
  </si>
  <si>
    <t>###### 7.1.3. Pronombres átonos de OI: serie me, te, le</t>
  </si>
  <si>
    <t>- 1.ª persona de singular</t>
  </si>
  <si>
    <t>- Me gusta el cine.</t>
  </si>
  <si>
    <t>- Valores /significado</t>
  </si>
  <si>
    <t>- Significado de experimentante semántico, pero no sujeto gramatical, con gustar</t>
  </si>
  <si>
    <t>- Me gustan los coches.</t>
  </si>
  <si>
    <t>###### 7.1.4. Valores de se</t>
  </si>
  <si>
    <t>- Pronombre personal: forma única para el singular y el plural</t>
  </si>
  <si>
    <t>- Pronombre reflexivo</t>
  </si>
  <si>
    <t>- Levantarse, peinarse</t>
  </si>
  <si>
    <t>- desayunarse, tardarse, amanecerse, robarse</t>
  </si>
  <si>
    <t>- [Hispanoamérica] Tendencia a usar formas reflexivas</t>
  </si>
  <si>
    <t>## Clasificacion de los pronombres relativos para los niveles A1 y A2</t>
  </si>
  <si>
    <t>- Que</t>
  </si>
  <si>
    <t>- En relativas especificativas con antecedente expreso</t>
  </si>
  <si>
    <t>- El libro que lee es muy interesante.</t>
  </si>
  <si>
    <t>- [v. Gramática 15.2.]</t>
  </si>
  <si>
    <t>- Invariable, carente de flexión. Átono, proclítico</t>
  </si>
  <si>
    <t>- la profesora que tengo / las casas que veo</t>
  </si>
  <si>
    <t>- Naturaleza del antecedente: sustantivo [+ / _x0096_ humano]</t>
  </si>
  <si>
    <t>- El libro que lee</t>
  </si>
  <si>
    <t>- La profesora que tengo</t>
  </si>
  <si>
    <t>- Función de sujeto y de OD, con antecedente obligatorio</t>
  </si>
  <si>
    <t>- La profesora que tengo me gusta mucho.</t>
  </si>
  <si>
    <t>- Vivo en una casa que tiene tres habitaciones.</t>
  </si>
  <si>
    <t>## Clasificacion de los pronombres interrogativos para los niveles A1 y A2</t>
  </si>
  <si>
    <t>- Qué</t>
  </si>
  <si>
    <t>- Tónico con acento gráfico. Posición inicial de su oración. Invariable</t>
  </si>
  <si>
    <t>- [v. Ortografía 2.2.]</t>
  </si>
  <si>
    <t>- Aislado, seguido de verbo; seguido de SN</t>
  </si>
  <si>
    <t>- ¿Qué estudias?</t>
  </si>
  <si>
    <t>- ¿Qué libro lees?</t>
  </si>
  <si>
    <t>- Pregunta por objetos o acciones (_x0096_ humano)</t>
  </si>
  <si>
    <t>- ¿Qué es eso?, ¿Qué haces?</t>
  </si>
  <si>
    <t>- [v. Funciones 1.2.]</t>
  </si>
  <si>
    <t>- Quién / quiénes</t>
  </si>
  <si>
    <t>- Forma singular. Tónico con acento gráfico. Posición inicial</t>
  </si>
  <si>
    <t>- Aislado, seguido de verbo</t>
  </si>
  <si>
    <t>- Pregunta por personas (+ humano)</t>
  </si>
  <si>
    <t>- ¿Quién es esa chica?</t>
  </si>
  <si>
    <t>- Cuánto / cuánta / cuántos / cuántas</t>
  </si>
  <si>
    <t>- Tónico con acento gráfico. Variable en género y número en concordancia con el sustantivo</t>
  </si>
  <si>
    <t>- ¿Cuántos años tienes? / ¿Cuántas hermanas tienes?</t>
  </si>
  <si>
    <t>- Adverbios interrogativos</t>
  </si>
  <si>
    <t>- [v. Gramática 8.8.]</t>
  </si>
  <si>
    <t>- Locuciones</t>
  </si>
  <si>
    <t>- [v. Gramática 8.9.]</t>
  </si>
  <si>
    <t>## Clasificacion de los pronombres exclamativos para los niveles A1 y A2</t>
  </si>
  <si>
    <t>## Clasificacion de los adverbios terminados en -mente para los niveles A1 y A2</t>
  </si>
  <si>
    <t>## Clasificacion de los adverbios nucleares o de predicado para los niveles A1 y A2</t>
  </si>
  <si>
    <t>- Circunstanciales facultativos</t>
  </si>
  <si>
    <t>- De lugar</t>
  </si>
  <si>
    <t>- Pronominales demostrativos: deícticos</t>
  </si>
  <si>
    <t>- aquí, ahí, allí</t>
  </si>
  <si>
    <t>- [Hispanoamérica] Preferencia por las formas acá y allá</t>
  </si>
  <si>
    <t>- [v. Tácticas y estrategias pragmáticas 1.3.1.]</t>
  </si>
  <si>
    <t>- Intensificación de lejos y cerca</t>
  </si>
  <si>
    <t>- muy lejos, muy cerca</t>
  </si>
  <si>
    <t>- De tiempo</t>
  </si>
  <si>
    <t>- Pronominales demostrativos deícticos</t>
  </si>
  <si>
    <t>- ahora, hoy, mañana</t>
  </si>
  <si>
    <t>- ahoy [= ahora + hoy] ahora por hoy</t>
  </si>
  <si>
    <t>- [Hispanoamérica] Uso de adverbios con significados propios</t>
  </si>
  <si>
    <t>###### 1.3.2. ]</t>
  </si>
  <si>
    <t>- De cantidad</t>
  </si>
  <si>
    <t>- Poco, mucho, bastante. Posición postverbal</t>
  </si>
  <si>
    <t>- Duermo poco.</t>
  </si>
  <si>
    <t>- Estudio mucho.</t>
  </si>
  <si>
    <t>- Oposición mucho / muy</t>
  </si>
  <si>
    <t>- Es muy bonito. / *Es mucho bonito.</t>
  </si>
  <si>
    <t>- [Hispanoamérica] Uso de demasiado por mucho, muy</t>
  </si>
  <si>
    <t>- Resultativos. Posición postverbal obligatoria bien, mal</t>
  </si>
  <si>
    <t>- Está bien / mal.</t>
  </si>
  <si>
    <t>- [v. Funciones 2.4.]</t>
  </si>
  <si>
    <t>- Otros tipos de adverbios nucleares</t>
  </si>
  <si>
    <t>- Identificativos polares, afirmativos y negativos</t>
  </si>
  <si>
    <t>- Sí, no</t>
  </si>
  <si>
    <t>- No tengo hermanos [nuclear]. / No, no</t>
  </si>
  <si>
    <t>- soy alemán [el primer no no es nuclear].</t>
  </si>
  <si>
    <t>- También tampoco</t>
  </si>
  <si>
    <t>- [Hispanoamérica] Uso de también no por tampoco</t>
  </si>
  <si>
    <t>## Clasificacion de los adverbios del «modus» para los niveles A1 y A2</t>
  </si>
  <si>
    <t>## Clasificacion de los adverbios conjuntivos para los niveles A1 y A2</t>
  </si>
  <si>
    <t>- Entonces, también, tampoco. Restricciones impuestas por el tipo de polaridad</t>
  </si>
  <si>
    <t>- también _x0096_ sí / tampoco _x0096_ no</t>
  </si>
  <si>
    <t>- [v. Funciones 2.9.]</t>
  </si>
  <si>
    <t>## Clasificacion de los adverbios relativos e interrogativos para los niveles A1 y A2</t>
  </si>
  <si>
    <t>- Interrogativos dónde, cómo</t>
  </si>
  <si>
    <t>- Posición inicial, seguido de verbo o aislado.</t>
  </si>
  <si>
    <t>- Invariable, para preguntar por lugar y modo</t>
  </si>
  <si>
    <t>- ¿Dónde vives?</t>
  </si>
  <si>
    <t>## Clasificacion de las locuciones adverbiales para los niveles A1 y A2</t>
  </si>
  <si>
    <t>- Por qué</t>
  </si>
  <si>
    <t>- En posición inicial. Contraste con porque</t>
  </si>
  <si>
    <t>## Clasificacion de los tiempos verbales de indicativo para los niveles A1 y A2</t>
  </si>
  <si>
    <t>###### 9.1.1. Presente</t>
  </si>
  <si>
    <t>- Paradigma de verbos regulares</t>
  </si>
  <si>
    <t>- [Zonas voseantes de Hispanoamérica] Formas voseantes verbales. Diversidad según dos tipos predominantes: am-áis, com-ís, viv-ís y am-ás, com-és, viv-ís</t>
  </si>
  <si>
    <t>- Vos am-áis, com-ís, viv-ís [Sierra de Ecuador, zona meridional de Perú, Chile, noroeste y porción patagónica de Argentina y Bolivia (Oruro y Potosí)] Vos am-ás, com-és, viv-ís [México (Chiapas, Tabaso, Yucatán y Quintana Roo), Centroamérica (excepto mitad oriental de Panamá), Colombia (costa pacífica y andina), Venezuela (interior), Ecuador (costa), Bolivia (excepto Concepción), Argentina (Misiones, Corrientes, Buenos Aires, Entre Ríos, Santa Fe, La Pampa, Río Negro, Chubut y Tierra del Fuego) y Uruguay (excepto zona ultraserrana)] vos am-ás, com-és, viv-ís; Tú am-ás, com-és, viv-ís [Oriente y Sur de Bolivia, Uruguay (Montevideo)]</t>
  </si>
  <si>
    <t>- Irregularidades propias: ser, estar, haber, ir</t>
  </si>
  <si>
    <t>- Vos sos.</t>
  </si>
  <si>
    <t>- [Zonas voseantes de Hispanoamérica] Irregularidades de ser</t>
  </si>
  <si>
    <t>- Valor de presente</t>
  </si>
  <si>
    <t>- Presente actual</t>
  </si>
  <si>
    <t>- Estamos en clase de español.</t>
  </si>
  <si>
    <t>- [Hispanoamérica] Tendencia al uso de la perífrasis voy a + infinitivo con valor de presente</t>
  </si>
  <si>
    <t>- Presente durativo</t>
  </si>
  <si>
    <t>- Vivo en Madrid.</t>
  </si>
  <si>
    <t>## Clasificacion del imperativo para los niveles A1 y A2</t>
  </si>
  <si>
    <t>## Clasificacion de las formas no personales del verbo para los niveles A1 y A2</t>
  </si>
  <si>
    <t>###### 9.4.1. Infinitivo</t>
  </si>
  <si>
    <t>- Infinitivo simple en las tres conjugaciones</t>
  </si>
  <si>
    <t>- Valor verbal</t>
  </si>
  <si>
    <t>- Independiente: fragmentario, como respuesta a una pregunta sin preposición</t>
  </si>
  <si>
    <t>- _x0097_¿Qué haces?</t>
  </si>
  <si>
    <t>- _x0097_Estudiar.</t>
  </si>
  <si>
    <t>- En subordinadas sustantivas, en función de sujeto y de OD</t>
  </si>
  <si>
    <t>- Estudiar español es divertido.</t>
  </si>
  <si>
    <t>- Me gusta estudiar español.</t>
  </si>
  <si>
    <t>- Quiero ir a España.</t>
  </si>
  <si>
    <t>- [v. Gramática 15.1.1.]</t>
  </si>
  <si>
    <t>###### 9.4.2. [_x0097_]</t>
  </si>
  <si>
    <t>###### 9.4.3. Participio</t>
  </si>
  <si>
    <t>- Participios regulares de las tres conjugaciones. Variación de género y número. Concordancia con el sustantivo</t>
  </si>
  <si>
    <t>- Valor adjetival</t>
  </si>
  <si>
    <t>- Estoy cansado.</t>
  </si>
  <si>
    <t>## Clasificacion de los complementos y modificadores para los niveles A1 y A2</t>
  </si>
  <si>
    <t>- Complementos adjuntos o modificadores de carácter restrictivo</t>
  </si>
  <si>
    <t>- Adjetivos no relacionales</t>
  </si>
  <si>
    <t>- [v. Gramática 2.1.1.]</t>
  </si>
  <si>
    <t>- Sintagma preposicional: único y no ambiguo (término: sustantivo, infinitivo, adverbio). Introducido por de o por otras preposiciones</t>
  </si>
  <si>
    <t>- el libro de español, la hora de comer, la clase</t>
  </si>
  <si>
    <t>- de hoy</t>
  </si>
  <si>
    <t>- la página del libro [valor de genitivo (posesivo)]</t>
  </si>
  <si>
    <t>- la vecina del tercero [valor asociativo]</t>
  </si>
  <si>
    <t>- casa con jardín</t>
  </si>
  <si>
    <t>- Modificadores oracionales Oraciones relativas especificativas en indicativo</t>
  </si>
  <si>
    <t>- la chica que lleva gafas</t>
  </si>
  <si>
    <t>## Concordancia interna al Sintagma Nominal para los niveles A1 y A2</t>
  </si>
  <si>
    <t>- Regla general: determinante _x0096_ núcleo _x0096_ adjetivo</t>
  </si>
  <si>
    <t>## Concordancia del Sintagma Nominal con el verbo para los niveles A1 y A2</t>
  </si>
  <si>
    <t>- Regla general</t>
  </si>
  <si>
    <t>## El vocativo para los niveles A1 y A2</t>
  </si>
  <si>
    <t>- En posición inicial y final</t>
  </si>
  <si>
    <t>- Juan, ¿eres de Madrid?</t>
  </si>
  <si>
    <t>- Modificadores</t>
  </si>
  <si>
    <t>- Adverbios de grado: muy, poco, bastante</t>
  </si>
  <si>
    <t>## Clasificacion del núcleo verbal para los niveles A1 y A2</t>
  </si>
  <si>
    <t>- Verbos predicativos</t>
  </si>
  <si>
    <t>- Psicológicos de emoción psíquica: gustar</t>
  </si>
  <si>
    <t>- Verbos copulativos o atributivos</t>
  </si>
  <si>
    <t>- Ser sin adjetivo</t>
  </si>
  <si>
    <t>- Identificativo</t>
  </si>
  <si>
    <t>- Soy Elena.</t>
  </si>
  <si>
    <t>- [v. Tácticas y estrategias pragmáticas 1.4.1.]</t>
  </si>
  <si>
    <t>- Pertenencia a una clase (origen, profesión, ideología, materia...)</t>
  </si>
  <si>
    <t>- Soy español. Soy estudiante.</t>
  </si>
  <si>
    <t>- Localización temporal Es lunes</t>
  </si>
  <si>
    <t>- Identificación con sustantivos y pronombres</t>
  </si>
  <si>
    <t>- Es él.</t>
  </si>
  <si>
    <t>- Estar sin adjetivo</t>
  </si>
  <si>
    <t>- Localización espacial</t>
  </si>
  <si>
    <t>- Está aquí.</t>
  </si>
  <si>
    <t>- Criterio distribucional, con adverbios de modo: bien / mal</t>
  </si>
  <si>
    <t>## Clasificacion de los complementos del verbo para los niveles A1 y A2</t>
  </si>
  <si>
    <t>###### 12.2.1. Atributo</t>
  </si>
  <si>
    <t>- Concordancia atributo-sujeto</t>
  </si>
  <si>
    <t>- Mis compañeras son alemanas.</t>
  </si>
  <si>
    <t>- El atributo es un sustantivo</t>
  </si>
  <si>
    <t>- Mario es cocinero.</t>
  </si>
  <si>
    <t>- El atributo es un adjetivo</t>
  </si>
  <si>
    <t>- El hijo de Marta es rubio.</t>
  </si>
  <si>
    <t>###### 12.2.2. Objeto directo</t>
  </si>
  <si>
    <t>- OD de persona sin preposición</t>
  </si>
  <si>
    <t>- Tengo dos hermanos.</t>
  </si>
  <si>
    <t>- OD de cosa</t>
  </si>
  <si>
    <t>- No tengo teléfono.</t>
  </si>
  <si>
    <t>- El OD es una proposición subordinada</t>
  </si>
  <si>
    <t>- Creo que Barcelona es una ciudad muy</t>
  </si>
  <si>
    <t>- bonita.</t>
  </si>
  <si>
    <t>###### 12.2.3. Objeto indirecto</t>
  </si>
  <si>
    <t>- Pronombre de OI de 1.ª persona de singular con gustar</t>
  </si>
  <si>
    <t>- Me gusta bailar.</t>
  </si>
  <si>
    <t>## Clasificacion de la concordancia de la oración simple para los niveles A1 y A2</t>
  </si>
  <si>
    <t>- Entre constituyentes o sintagmas</t>
  </si>
  <si>
    <t>- Concordancia sujeto-verbo</t>
  </si>
  <si>
    <t>- Concordancia sujeto-atributo</t>
  </si>
  <si>
    <t>## Orden de los constituyentes de la oración simple para los niveles A1 y A2</t>
  </si>
  <si>
    <t>- Orden neutro o canónico: SVO</t>
  </si>
  <si>
    <t>- Yo soy</t>
  </si>
  <si>
    <t>- [El Caribe] Tendencia a la presencia de sujeto explícito pronominal con orden SVO</t>
  </si>
  <si>
    <t>## Clasificación tipológica de la oración simple para los niveles A1 y A2</t>
  </si>
  <si>
    <t>- Según la actitud del hablante</t>
  </si>
  <si>
    <t>- Enunciativas (afirmativas y negativas)</t>
  </si>
  <si>
    <t>- Soy español. / No soy español.</t>
  </si>
  <si>
    <t>- Interrogativas directas</t>
  </si>
  <si>
    <t>- Totales, con sentido literal</t>
  </si>
  <si>
    <t>- ¿Te llamas Ana?</t>
  </si>
  <si>
    <t>- Parciales, con sentido literal</t>
  </si>
  <si>
    <t>- ¿Cuándo vienes?</t>
  </si>
  <si>
    <t>- Según la naturaleza del predicado</t>
  </si>
  <si>
    <t>- Impersonales con el verbo haber</t>
  </si>
  <si>
    <t>- Hay tres personas.</t>
  </si>
  <si>
    <t>- Habían cajas por todas partes.</t>
  </si>
  <si>
    <t>- Hubieron muchas gentes.</t>
  </si>
  <si>
    <t>- Habíamos muchos.</t>
  </si>
  <si>
    <t>- [Hispanoamérica] Tendencia a personalizar el verbo haber (se interpreta como sujeto un complemento)</t>
  </si>
  <si>
    <t>- Copulativas o atributivas</t>
  </si>
  <si>
    <t>- Soy de Madrid.</t>
  </si>
  <si>
    <t>- Transitivas e intransitivas</t>
  </si>
  <si>
    <t>- Estudio español. / Vivo en Italia.</t>
  </si>
  <si>
    <t>## Clasificación de las oraciones copulativas para los niveles A1 y A2</t>
  </si>
  <si>
    <t>- Con la conjunción y</t>
  </si>
  <si>
    <t>- Soy americana y vivo en Los Ángeles.</t>
  </si>
  <si>
    <t>- Negativas con la conjunción ni</t>
  </si>
  <si>
    <t>- No me gusta el otoño ni el invierno.</t>
  </si>
  <si>
    <t>## Clasificación de las oraciones disyuntivas para los niveles A1 y A2</t>
  </si>
  <si>
    <t>- Con la conjunción o</t>
  </si>
  <si>
    <t>- ¿Eres americano o inglés?</t>
  </si>
  <si>
    <t>- [v. Funciones 1.2.1.]</t>
  </si>
  <si>
    <t>## Clasificación de las oraciones adversativas para los niveles A1 y A2</t>
  </si>
  <si>
    <t>- Con la conjunción pero</t>
  </si>
  <si>
    <t>- Soy alemán, pero vivo en Suiza.</t>
  </si>
  <si>
    <t>## Clasificación de las oraciones distributivas para los niveles A1 y A2</t>
  </si>
  <si>
    <t>- Con uno... otro</t>
  </si>
  <si>
    <t>- Uno habla alemán, otro habla francés.</t>
  </si>
  <si>
    <t>## Clasificación de las oraciones subordinadas sustantivas para los niveles A1 y A2</t>
  </si>
  <si>
    <t>###### 15.1.1. De infinitivo</t>
  </si>
  <si>
    <t>- En función de sujeto</t>
  </si>
  <si>
    <t>- Con el verbo ser</t>
  </si>
  <si>
    <t>- Hablar español es útil.</t>
  </si>
  <si>
    <t>- Con el verbo gustar</t>
  </si>
  <si>
    <t>- En función de OD</t>
  </si>
  <si>
    <t>- Con verbos de actividad mental transitivos de un solo complemento, del tipo querer</t>
  </si>
  <si>
    <t>###### 15.1.2. Flexionadas</t>
  </si>
  <si>
    <t>- Con el verbo creer, en forma afirmativa</t>
  </si>
  <si>
    <t>- Creo que es muy caro.</t>
  </si>
  <si>
    <t>- [v. Tácticas y estrategias pragmáticas 3.1.2.]</t>
  </si>
  <si>
    <t>## Clasificación de las oraciones subordinadas adjetivas o de relativo para los niveles A1 y A2</t>
  </si>
  <si>
    <t>- Tipos (en relación con el antecedente)</t>
  </si>
  <si>
    <t>- Especificativas o restrictivas, con antecedente expreso</t>
  </si>
  <si>
    <t>- La profesora que tengo es muy buena.</t>
  </si>
  <si>
    <t>- Pronombres relativos</t>
  </si>
  <si>
    <t>- Con antecedente expreso, en función de sujeto y de OD</t>
  </si>
  <si>
    <t>- la amiga que viene conmigo</t>
  </si>
  <si>
    <t>- un libro que lees</t>
  </si>
  <si>
    <t>- [v. Gramática 7.2.]</t>
  </si>
  <si>
    <t>- Modo</t>
  </si>
  <si>
    <t>- Indicativo: presente</t>
  </si>
  <si>
    <t>## Clasificación de las oraciones subordinadas adverbiales para los niveles A1 y A2</t>
  </si>
  <si>
    <t>###### 15.3.1. [_x0097_]</t>
  </si>
  <si>
    <t>###### 15.3.2. [_x0097_]</t>
  </si>
  <si>
    <t>###### 15.3.3. [_x0097_]</t>
  </si>
  <si>
    <t>###### 15.3.4. Causales</t>
  </si>
  <si>
    <t>- Tipos</t>
  </si>
  <si>
    <t>- Del enunciado</t>
  </si>
  <si>
    <t>- En posición pospuesta</t>
  </si>
  <si>
    <t>- Estudio español porque mi novio es de</t>
  </si>
  <si>
    <t>- Cáceres.</t>
  </si>
  <si>
    <t>- Causales de motivación (exigencia de sujeto agentivo)</t>
  </si>
  <si>
    <t>- Estoy en España porque me gusta.</t>
  </si>
  <si>
    <t>- Nexos y conectores de causalidad</t>
  </si>
  <si>
    <t>- Porque</t>
  </si>
  <si>
    <t>- En causales del enunciado. Detrás de la principal: relación de motivación</t>
  </si>
  <si>
    <t>- Contraste por qué (interrogativo) / porque</t>
  </si>
  <si>
    <t>- Siempre en indicativo</t>
  </si>
  <si>
    <t>###### 15.3.5. Finales</t>
  </si>
  <si>
    <t>- Integradas en infinitivo</t>
  </si>
  <si>
    <t>- Tengo un libro para aprender español.</t>
  </si>
  <si>
    <t>- Objetivo: utilidad</t>
  </si>
  <si>
    <t>- Sujeto agentivo con infinitivo</t>
  </si>
  <si>
    <t>- Estudio español para trabajar en México.</t>
  </si>
  <si>
    <t>- Sujeto no agentivo con infinitivo</t>
  </si>
  <si>
    <t>- El boli es para escribir.</t>
  </si>
  <si>
    <t>- Nexos y conectores finales</t>
  </si>
  <si>
    <t>- Para + infinitivo</t>
  </si>
  <si>
    <t>- Este libro es para aprender español.</t>
  </si>
  <si>
    <t>## El abecedario para los niveles A1 y A2</t>
  </si>
  <si>
    <t>- Nombre de las letras del abecedario o alfabeto</t>
  </si>
  <si>
    <t>- Letras con varios nombres en español</t>
  </si>
  <si>
    <t>- b: be: be alta, be larga</t>
  </si>
  <si>
    <t>- r/rr: ere, erre</t>
  </si>
  <si>
    <t>- v: uve, ve, ve baja, ve corta</t>
  </si>
  <si>
    <t>- w: uve doble, ve doble, doble ve</t>
  </si>
  <si>
    <t>- [México y algunos países de Centroamérica] doble u</t>
  </si>
  <si>
    <t>- y: i griega, ye</t>
  </si>
  <si>
    <t>- z: zeta</t>
  </si>
  <si>
    <t>- Plural de las letras del abecedario o alfabeto</t>
  </si>
  <si>
    <t>- aes, bes, ces</t>
  </si>
  <si>
    <t>- Esta palabra tiene dos íes.</t>
  </si>
  <si>
    <t>- Correspondencia de más de una letra para un sonido</t>
  </si>
  <si>
    <t>- b/v - /b/</t>
  </si>
  <si>
    <t>- g+e, i/j - /x/</t>
  </si>
  <si>
    <t>- k/qu/c+a, o, u - /k/</t>
  </si>
  <si>
    <t>- Correspondencia de una letra para más de un sonido</t>
  </si>
  <si>
    <t>- w - /u/, /b/</t>
  </si>
  <si>
    <t>- y - /y/, /i/</t>
  </si>
  <si>
    <t>- Dígrafos ch y ll</t>
  </si>
  <si>
    <t>- Deletreo</t>
  </si>
  <si>
    <t>- Escasa frecuencia de aparición de consonantes idénticas contiguas en español</t>
  </si>
  <si>
    <t>## Las vocales para los niveles A1 y A2</t>
  </si>
  <si>
    <t>- Letras a, e, i, o, u. Representación gráfica de los fonemas /a/, /e/, /i/, /o/, /u/</t>
  </si>
  <si>
    <t>- Susceptibles de llevar tilde [en oposición a las consonantes]</t>
  </si>
  <si>
    <t>- Formas contractas al y del</t>
  </si>
  <si>
    <t>- Conjunción e / y</t>
  </si>
  <si>
    <t>- Hablo español e inglés. / *Hablo español y inglés.</t>
  </si>
  <si>
    <t>- En oraciones interrogativas se mantiene y ante i</t>
  </si>
  <si>
    <t>- ¿Y Inmaculada?</t>
  </si>
  <si>
    <t>- [v. Ortografía 1.3.5.]</t>
  </si>
  <si>
    <t>- Conjunción o / u</t>
  </si>
  <si>
    <t>- Tiene diez u once libros. / *Tiene diez o once libros.</t>
  </si>
  <si>
    <t>## Las consonantes para los niveles A1 y A2</t>
  </si>
  <si>
    <t>###### 1.3.1. Letras b, v, w</t>
  </si>
  <si>
    <t>- Letra b</t>
  </si>
  <si>
    <t>- Representación gráfica del fonema labial sonoro /b/</t>
  </si>
  <si>
    <t>- Letra v</t>
  </si>
  <si>
    <t>- Presente de indicativo de ir</t>
  </si>
  <si>
    <t>- Letra w</t>
  </si>
  <si>
    <t>- Representación gráfica del fonema semiconsonántico /w/ en voces no adaptadas del inglés</t>
  </si>
  <si>
    <t>- sándwich, web</t>
  </si>
  <si>
    <t>###### 1.3.2. Letras c, k, q, z, dígrafo ch</t>
  </si>
  <si>
    <t>- Letra c</t>
  </si>
  <si>
    <t>- Representación gráfica del fonema oclusivo velar sordo /k/ delante de a, o, u, consonante y en posición final de sílaba</t>
  </si>
  <si>
    <t>- calle, compañero, cuatro, clase, actor</t>
  </si>
  <si>
    <t>- Representación gráfica del fonema fricativo interdental sordo /θ/ delante de e, i</t>
  </si>
  <si>
    <t>- cena, cine</t>
  </si>
  <si>
    <t>- Excepción: zeta</t>
  </si>
  <si>
    <t>- [Hispanoamérica, suroeste de España, Canarias] Seseo. Representación gráfica del fonema predorsal fricativo sordo /s/ delante de e, i</t>
  </si>
  <si>
    <t>- Posibilidad de duplicación de la letra c en español</t>
  </si>
  <si>
    <t>- lección, dirección, diccionario</t>
  </si>
  <si>
    <t>- Letra k</t>
  </si>
  <si>
    <t>- Representación gráfica del fonema oclusivo velar sordo /k/</t>
  </si>
  <si>
    <t>- kilómetro</t>
  </si>
  <si>
    <t>- Letra q</t>
  </si>
  <si>
    <t>- Dígrafo qu delante de e, i. Representación gráfica del fonema oclusivo velar sordo /k/</t>
  </si>
  <si>
    <t>- pequeño, quien</t>
  </si>
  <si>
    <t>- Letra z</t>
  </si>
  <si>
    <t>- Representación gráfica del fonema fricativo interdental sordo /θ/ delante de a, o, u</t>
  </si>
  <si>
    <t>- zapatos, brazo, azul</t>
  </si>
  <si>
    <t>- [Hispanoamérica, suroeste de España, Canarias] Seseo. Representación gráfica del fonema predorsal fricativo sordo /s/ delante de a, o, u</t>
  </si>
  <si>
    <t>- En posición final de sílaba y final de palabra</t>
  </si>
  <si>
    <t>- mezquita, lápiz</t>
  </si>
  <si>
    <t>- Dígrafo ch</t>
  </si>
  <si>
    <t>- Representación gráfica del fonema africado palatal sordo /ĉ/</t>
  </si>
  <si>
    <t>- chino</t>
  </si>
  <si>
    <t>###### 1.3.3. Letras g, j</t>
  </si>
  <si>
    <t>- Letra g</t>
  </si>
  <si>
    <t>- Representación gráfica del fonema velar sonoro /g/ delante de a, o, u y consonante</t>
  </si>
  <si>
    <t>- gato, bigote, agua, bolígrafo</t>
  </si>
  <si>
    <t>- Representación gráfica del fonema velar sordo /x/ delante de e, i</t>
  </si>
  <si>
    <t>- gente, colegio</t>
  </si>
  <si>
    <t>- Dígrafo gu delante de e, i. Representación gráfica del fonema /g/</t>
  </si>
  <si>
    <t>- hamburguesa, guitarra</t>
  </si>
  <si>
    <t>- Letra j</t>
  </si>
  <si>
    <t>- Representación gráfica del fonema velar sordo /x/</t>
  </si>
  <si>
    <t>- Juan, extranjero, reloj</t>
  </si>
  <si>
    <t>###### 1.3.4. Letra h</t>
  </si>
  <si>
    <t>- Correspondencia de la h con ausencia de sonido</t>
  </si>
  <si>
    <t>- Posición de la letra h: inicio de palabra</t>
  </si>
  <si>
    <t>- hermano, hoy</t>
  </si>
  <si>
    <t>- Palabras que proceden de voces latinas con f inicial</t>
  </si>
  <si>
    <t>- hacer, hijo</t>
  </si>
  <si>
    <t>###### 1.3.5. Letra y, dígrafo ll</t>
  </si>
  <si>
    <t>- Letra y</t>
  </si>
  <si>
    <t>- Representación gráfica del fonema vocálico /i/: diptongos y triptongos, conjunción y</t>
  </si>
  <si>
    <t>- hay, soy, Uruguay</t>
  </si>
  <si>
    <t>- Representación gráfica del fonema palatal sonoro /y/ delante de vocal</t>
  </si>
  <si>
    <t>- yo, ayer, desayuno</t>
  </si>
  <si>
    <t>- Conjunción y. Sustitución de y por e + palabra con fonema /i/ inicial</t>
  </si>
  <si>
    <t>- Pedro e Inés</t>
  </si>
  <si>
    <t>- [v. Ortografía 1.2.]</t>
  </si>
  <si>
    <t>- Dígrafo ll</t>
  </si>
  <si>
    <t>- Representación gráfica del fonema palatal lateral sonoro /λ/</t>
  </si>
  <si>
    <t>- billete, llevar</t>
  </si>
  <si>
    <t>###### 1.3.6. Letras m, n, ñ</t>
  </si>
  <si>
    <t>- Letra m</t>
  </si>
  <si>
    <t>- Representación del fonema labial nasal /m/ en inicial de palabra o sílaba</t>
  </si>
  <si>
    <t>- madre, número</t>
  </si>
  <si>
    <t>- Representación del fonema dental nasal /n/ delante de p y b</t>
  </si>
  <si>
    <t>- nombre, tiempo</t>
  </si>
  <si>
    <t>- Letra n</t>
  </si>
  <si>
    <t>- Representación gráfica del fonema dental nasal /n/</t>
  </si>
  <si>
    <t>- nacionalidad, profesión, estudiante</t>
  </si>
  <si>
    <t>- Letra ñ</t>
  </si>
  <si>
    <t>- Representación gráfica del fonema nasal palatal /ɲ/ en inicio de sílaba</t>
  </si>
  <si>
    <t>- compañero, pequeño, año</t>
  </si>
  <si>
    <t>###### 1.3.7. Letra p</t>
  </si>
  <si>
    <t>- Representación gráfica del fonema labial oclusivo sordo /p/</t>
  </si>
  <si>
    <t>- padre, aprender</t>
  </si>
  <si>
    <t>- Grupo ps-</t>
  </si>
  <si>
    <t>- Soy psicólogo.</t>
  </si>
  <si>
    <t>###### 1.3.8. Letra r, dígrafo rr</t>
  </si>
  <si>
    <t>- Letra r</t>
  </si>
  <si>
    <t>- Representación gráfica del fonema vibrante simple /ɾ/ en posición intervocálica, después de b, c, d, f, g, k, p, t, en final de sílaba</t>
  </si>
  <si>
    <t>- número, nombre, escribir, madre, francés, gracias, profesor, Kremlin, trabajar, hablar</t>
  </si>
  <si>
    <t>- Representación gráfica del fonema vibrante múltiple /r/ en posición inicial, después de consonante de sílaba distinta</t>
  </si>
  <si>
    <t>- rubio, Enrique</t>
  </si>
  <si>
    <t>- Dígrafo rr</t>
  </si>
  <si>
    <t>- Representación gráfica del fonema vibrante múltiple /r/ en posición intervocálica</t>
  </si>
  <si>
    <t>- marrón</t>
  </si>
  <si>
    <t>###### 1.3.9. Letras s, x</t>
  </si>
  <si>
    <t>- Letra s</t>
  </si>
  <si>
    <t>- Representación gráfica del fonema palatal fricativo sordo /s/</t>
  </si>
  <si>
    <t>- Letra x</t>
  </si>
  <si>
    <t>- Representación del grupo consonántico /ks/ o /gs/ en posición intervocálica y final de sílaba o palabra</t>
  </si>
  <si>
    <t>- taxista, exposición, relax</t>
  </si>
  <si>
    <t>- Representación del fonema palatal fricativo sordo /s/ en inicial de palabra</t>
  </si>
  <si>
    <t>- xilófono</t>
  </si>
  <si>
    <t>- Representación del fonema fricativo velar sordo /x/ en las voces México, Oaxaca, Texas y sus derivados</t>
  </si>
  <si>
    <t>###### 1.3.10. Letras t, d</t>
  </si>
  <si>
    <t>- Letra t</t>
  </si>
  <si>
    <t>- Representación gráfica del fonema dental oclusivo sordo /t/</t>
  </si>
  <si>
    <t>- teatro, contento</t>
  </si>
  <si>
    <t>## Las letras mayúsculas para los niveles A1 y A2</t>
  </si>
  <si>
    <t>###### 1.4.1. Usos generales</t>
  </si>
  <si>
    <t>- Letras mayúsculas: vocales y consonantes</t>
  </si>
  <si>
    <t>- Mayúsculas en palabras que empiezan con dígrafo</t>
  </si>
  <si>
    <t>- China / *CHina</t>
  </si>
  <si>
    <t>- Lluvia / *LLuvia</t>
  </si>
  <si>
    <t>- Mayúscula de i, j sin punto</t>
  </si>
  <si>
    <t>- Irlanda, Juan</t>
  </si>
  <si>
    <t>- Obligatoriedad de tilde en mayúscula</t>
  </si>
  <si>
    <t>- [v. Ortografía 2.1.]</t>
  </si>
  <si>
    <t>###### 1.4.2. Mayúsculas en palabras o enunciados enteros</t>
  </si>
  <si>
    <t>- Mayúscula y minúscula</t>
  </si>
  <si>
    <t>- PEDRO / Pedro / *PeDRo</t>
  </si>
  <si>
    <t>###### 1.4.3. Mayúsculas iniciales</t>
  </si>
  <si>
    <t>- Según el significado</t>
  </si>
  <si>
    <t>- Nombres de persona, animal o cosa singularizada, apellidos, topónimos, nombres geográficos</t>
  </si>
  <si>
    <t>- María, Antonio, Martínez, Rocinante, Bolivia, Caracas, Duero</t>
  </si>
  <si>
    <t>- Abreviaturas</t>
  </si>
  <si>
    <t>- D., D.ª, Sr., Sra.</t>
  </si>
  <si>
    <t>- Según la puntuación</t>
  </si>
  <si>
    <t>- Primera palabra de un texto escrito</t>
  </si>
  <si>
    <t>- Te escribo desde</t>
  </si>
  <si>
    <t>- Después de punto</t>
  </si>
  <si>
    <t>- Yo hablo francés.Ella habla italiano.</t>
  </si>
  <si>
    <t>- Después de signos de cierre de interrogación y exclamación, sin interposición de coma, punto y coma, dos puntos</t>
  </si>
  <si>
    <t>- ¿Eres contable? Yo también.</t>
  </si>
  <si>
    <t>- ¡Hola! Me llamo Lijlijana.</t>
  </si>
  <si>
    <t>## Las letras minúsculas iniciales para los niveles A1 y A2</t>
  </si>
  <si>
    <t>- Nombres propios: apellidos que comienzan con artículo, preposición o ambos</t>
  </si>
  <si>
    <t>- Teresa la Cruz, Miguel de Cervantes, Enrique de la Rosa</t>
  </si>
  <si>
    <t>- Tratamientos</t>
  </si>
  <si>
    <t>- Perdón, ¿cómo se llama usted?</t>
  </si>
  <si>
    <t>- Divisiones geográficas, accidentes</t>
  </si>
  <si>
    <t>- calle, plaza, el mar Mediterráneo, la sierra de Madrid</t>
  </si>
  <si>
    <t>- Excepciones: cuando forman parte de un topónimo</t>
  </si>
  <si>
    <t>- Ciudad de México, Puerto de la Cruz</t>
  </si>
  <si>
    <t>- español, francés, mexicano</t>
  </si>
  <si>
    <t>- c/, pl.</t>
  </si>
  <si>
    <t>- Días de la semana, meses del año y estaciones</t>
  </si>
  <si>
    <t>- lunes, enero, primavera</t>
  </si>
  <si>
    <t>- Monedas</t>
  </si>
  <si>
    <t>- euro, peso</t>
  </si>
  <si>
    <t>- Después de dos puntos</t>
  </si>
  <si>
    <t>- Hablo dos idiomas: español e italiano.</t>
  </si>
  <si>
    <t>- Después de signos de cierre de interrogación y exclamación, con interposición de coma, punto y coma, dos puntos</t>
  </si>
  <si>
    <t>- ¿Cómo te llamas?, ¿de dónde eres?</t>
  </si>
  <si>
    <t>- ¡Hola!, buenos días.</t>
  </si>
  <si>
    <t>## Los tipos de letra para los niveles A1 y A2</t>
  </si>
  <si>
    <t>- Letras voladas</t>
  </si>
  <si>
    <t>- Abreviaturas de uso frecuente</t>
  </si>
  <si>
    <t>- D.ª, n.º, 1.º</t>
  </si>
  <si>
    <t>## Ortografía de las palabras para los niveles A1 y A2</t>
  </si>
  <si>
    <t>###### 1.7.1. Usos generales</t>
  </si>
  <si>
    <t>- Grupos consonánticos inseparables</t>
  </si>
  <si>
    <t>- pro-fe-sor, li-bro, bo-lí-gra-fo / cuer-po, ár-bol, lar-go</t>
  </si>
  <si>
    <t>###### 1.7.2. [_x0097_]</t>
  </si>
  <si>
    <t>###### 1.7.3. Palabras de doble escritura</t>
  </si>
  <si>
    <t>- Escritura condicionada</t>
  </si>
  <si>
    <t>- Por qué / Porque</t>
  </si>
  <si>
    <t>- _x0097_¿Por qué estudias español?</t>
  </si>
  <si>
    <t>- _x0097_Porque quiero trabajar en Chile.</t>
  </si>
  <si>
    <t>###### 1.7.4. Expresión de cifras y números</t>
  </si>
  <si>
    <t>- Formas de los números cardinales</t>
  </si>
  <si>
    <t>- [v. Gramática 6.1.]</t>
  </si>
  <si>
    <t>- Palabra simple</t>
  </si>
  <si>
    <t>- uno, doce, noventa, quinientos</t>
  </si>
  <si>
    <t>- Palabra compuesta</t>
  </si>
  <si>
    <t>- dieciséis, veintiocho, trescientos</t>
  </si>
  <si>
    <t>- Combinación de palabras</t>
  </si>
  <si>
    <t>- cuarenta y siete, sesenta y dos, trescientos ochenta y cinco</t>
  </si>
  <si>
    <t>- Expresión de decimales</t>
  </si>
  <si>
    <t>- 1,5 / *1.5</t>
  </si>
  <si>
    <t>- [v. Ortografía 3.2.]</t>
  </si>
  <si>
    <t>- Expresión de la fecha</t>
  </si>
  <si>
    <t>- Orden de los componentes. Alternancia de cifras y palabras. Ausencia de punto en números de años. Uso de minúsculas en días de la semana y meses del año</t>
  </si>
  <si>
    <t>- 9 de julio de 2005</t>
  </si>
  <si>
    <t>- Hoy es sábado, 9 de julio de 2005.</t>
  </si>
  <si>
    <t>- [v. Ortografía 1.5.]</t>
  </si>
  <si>
    <t>- Expresión de la hora: uso cotidiano</t>
  </si>
  <si>
    <t>- [v. Ortografía 3.1., 3.3.]</t>
  </si>
  <si>
    <t>- Formato de 12 horas</t>
  </si>
  <si>
    <t>- Las tiendas abren a las diez y media de la mañana. / *Las tiendas abren a las 10:30 de la mañana.</t>
  </si>
  <si>
    <t>- Formato de 24 horas</t>
  </si>
  <si>
    <t>- Las tiendas cierran a las 21:30 / *Las tiendas cierran a las veintiuna treinta.</t>
  </si>
  <si>
    <t>## Reglas generales de acentuación para los niveles A1 y A2</t>
  </si>
  <si>
    <t>- Interrogativos y exclamativos</t>
  </si>
  <si>
    <t>- ¿Cómo te llamas?, ¿Dónde vives?, ¡Qué bien!</t>
  </si>
  <si>
    <t>- INÉS / * INES, Ángel / *Angel</t>
  </si>
  <si>
    <t>## La tilde diacrítica para los niveles A1 y A2</t>
  </si>
  <si>
    <t>- Contraste interrogativo y exclamativo qué / relativo que</t>
  </si>
  <si>
    <t>- ¿Qué lees? / el libro que leo</t>
  </si>
  <si>
    <t>- ¡Qué bien!</t>
  </si>
  <si>
    <t>- Contraste pronombre él / artículo el</t>
  </si>
  <si>
    <t>- Es él / el libro</t>
  </si>
  <si>
    <t>- Contraste pronombre te / sustantivo té</t>
  </si>
  <si>
    <t>- ¿Cómo te llamas? / Bebo té.</t>
  </si>
  <si>
    <t>- Contraste pronombre se / 3.ª persona de singular del presente de indicativo del verbo saber</t>
  </si>
  <si>
    <t>- Se llama Sofía. / No sé.</t>
  </si>
  <si>
    <t>- Contraste posesivo tu / pronombre personal tú</t>
  </si>
  <si>
    <t>- ¿Cómo es tu casa? / Soy inglesa, ¿y tú?</t>
  </si>
  <si>
    <t>## El punto para los niveles A1 y A2</t>
  </si>
  <si>
    <t>- Tipos de punto: punto y seguido, punto y aparte, punto final</t>
  </si>
  <si>
    <t>- Punto y seguido: convenciones de distribución y organización del texto (continuidad en el mismo renglón)</t>
  </si>
  <si>
    <t>- Abreviaturas, siglas y acrónimos</t>
  </si>
  <si>
    <t>- D.ª, tfno.</t>
  </si>
  <si>
    <t>- Ausencia de punto en números de teléfono</t>
  </si>
  <si>
    <t>- Mi número es el 91 578 84 67.</t>
  </si>
  <si>
    <t>- Ausencia de punto en concurrencia con signos de cierre de interrogación y exclamación</t>
  </si>
  <si>
    <t>- ¿Dónde vivo? En... / *¿Dónde vivo?. En...</t>
  </si>
  <si>
    <t>- Expresión de fracciones de la hora</t>
  </si>
  <si>
    <t>- La clase comienza a las 11.30.</t>
  </si>
  <si>
    <t>- Direcciones de correo electrónico</t>
  </si>
  <si>
    <t>- cervantes@cervantes.es</t>
  </si>
  <si>
    <t>- Lectura de direcciones de páginas web</t>
  </si>
  <si>
    <t>- www.cervantes.es</t>
  </si>
  <si>
    <t>## La coma para los niveles A1 y A2</t>
  </si>
  <si>
    <t>- Enumeraciones con y, o</t>
  </si>
  <si>
    <t>- Hablo ruso, inglés y alemán.</t>
  </si>
  <si>
    <t>- Estudio español para trabajar en Argentina, Paraguay o Uruguay.</t>
  </si>
  <si>
    <t>- Enumeraciones con e, u</t>
  </si>
  <si>
    <t>- Hablo ruso, alemán e inglés.</t>
  </si>
  <si>
    <t>- No podemos visitar todas las ciudades, tienes que elegir: Santander, Bilbao u Oviedo.</t>
  </si>
  <si>
    <t>- Ausencia de coma entre sujeto y verbo</t>
  </si>
  <si>
    <t>- *La hija de mi hermano, se llama Marta.</t>
  </si>
  <si>
    <t>- Separación de unidades y decimales</t>
  </si>
  <si>
    <t>- 5,25 euros, 5_x0092_25 euros</t>
  </si>
  <si>
    <t>## Los dos puntos para los niveles A1 y A2</t>
  </si>
  <si>
    <t>- Enumeración anunciada</t>
  </si>
  <si>
    <t>- Los días de la semana son: lunes, martes...</t>
  </si>
  <si>
    <t>- Convenciones de distribución y organización del texto en ejemplificaciones y numeraciones: continuidad en el mismo renglón</t>
  </si>
  <si>
    <t>- La clase empieza a las 11:30.</t>
  </si>
  <si>
    <t>## Los puntos suspensivos para los niveles A1 y A2</t>
  </si>
  <si>
    <t>## Los signos de interrogación y exclamación para los niveles A1 y A2</t>
  </si>
  <si>
    <t>- Obligatoriedad de apertura y cierre de interrogación y exclamación</t>
  </si>
  <si>
    <t>- ¿Cómo te llamas? / *Cómo te llamas?, ¡Hola! / *Hola!</t>
  </si>
  <si>
    <t>- En concurrencia con otros signos, excepto punto</t>
  </si>
  <si>
    <t>- *¿Dónde vives?.</t>
  </si>
  <si>
    <t>- *¡Buenas tardes!.</t>
  </si>
  <si>
    <t>## Los paréntesis para los niveles A1 y A2</t>
  </si>
  <si>
    <t>- Complementos e incisos</t>
  </si>
  <si>
    <t>- Pedraza (España) es un pueblo muy bonito.</t>
  </si>
  <si>
    <t>## Las comillas para los niveles A1 y A2</t>
  </si>
  <si>
    <t>- Discriminador en el enunciado: voces extranjeras</t>
  </si>
  <si>
    <t>- ¿Cómo se dice «good bye» en español?</t>
  </si>
  <si>
    <t>## El guión para los niveles A1 y A2</t>
  </si>
  <si>
    <t>- Nombres de pila y apellidos compuestos</t>
  </si>
  <si>
    <t>- Se llama Ana Torres-Vega García.</t>
  </si>
  <si>
    <t>## La raya para los niveles A1 y A2</t>
  </si>
  <si>
    <t>- Intervenciones en diálogos, sin mención de nombre o personaje</t>
  </si>
  <si>
    <t>- _x0097_¿Cómo te llamas?</t>
  </si>
  <si>
    <t>- _x0097_Me llamo Carolina.</t>
  </si>
  <si>
    <t>## La barra para los niveles A1 y A2</t>
  </si>
  <si>
    <t>- c/</t>
  </si>
  <si>
    <t>- [v. Ortografía 4.1.]</t>
  </si>
  <si>
    <t>- Indicador de dos o más opciones</t>
  </si>
  <si>
    <t>- profesor/a, señor/a</t>
  </si>
  <si>
    <t>## El asterisco para los niveles A1 y A2</t>
  </si>
  <si>
    <t>## Las abreviaturas para los niveles A1 y A2</t>
  </si>
  <si>
    <t>- Formas de tratamiento más frecuentes</t>
  </si>
  <si>
    <t>- D., Sr., Ud. / Vd.</t>
  </si>
  <si>
    <t>- Uso de punto</t>
  </si>
  <si>
    <t>- tfno., ej.</t>
  </si>
  <si>
    <t>- [v. Ortografía 3.1.]</t>
  </si>
  <si>
    <t>- Uso de la barra</t>
  </si>
  <si>
    <t>- [v. Ortografía 3.12.]</t>
  </si>
  <si>
    <t>- Género de las abreviaturas</t>
  </si>
  <si>
    <t>- Sra. / Sr.ª</t>
  </si>
  <si>
    <t>- Mayúscula y minúscula inicial (en función de la palabra representada)</t>
  </si>
  <si>
    <t>- pág., D. [en tratamientos]</t>
  </si>
  <si>
    <t>## Las siglas y acrónimos para los niveles A1 y A2</t>
  </si>
  <si>
    <t>- Uso de mayúsculas</t>
  </si>
  <si>
    <t>- IC, RAE</t>
  </si>
  <si>
    <t>## Lss símbolos para los niveles A1 y A2</t>
  </si>
  <si>
    <t>- Símbolos alfabetizables</t>
  </si>
  <si>
    <t>- ARS [peso argentino], CLP [peso chileno], UYU [peso uruguayo]</t>
  </si>
  <si>
    <t>- Puntos cardinales</t>
  </si>
  <si>
    <t>- N, S, E, O</t>
  </si>
  <si>
    <t>- Símbolos no alfabetizables</t>
  </si>
  <si>
    <t>- $, _x0080_, ¢ [monedas], @ [arroba]</t>
  </si>
  <si>
    <t>## La función 'identificar' para los niveles A1 y A2</t>
  </si>
  <si>
    <t>- Yo...</t>
  </si>
  <si>
    <t>- Yo soy Laura, ¿y tú?</t>
  </si>
  <si>
    <t>- Nosotros vivimos en Italia.</t>
  </si>
  <si>
    <t>- [v. Funciones 5.4., Gramática 7.1.1.]</t>
  </si>
  <si>
    <t>- ... yo</t>
  </si>
  <si>
    <t>- -(Sí, soy) yo.</t>
  </si>
  <si>
    <t>- -(Sí, es) ella.</t>
  </si>
  <si>
    <t>- [-¿María Sánchez?]</t>
  </si>
  <si>
    <t>- Mi + sust.</t>
  </si>
  <si>
    <t>- Mi teléfono es el 699 705 388.</t>
  </si>
  <si>
    <t>- Tu hermana es muy simpática.</t>
  </si>
  <si>
    <t>- Sus amigos hablan español.</t>
  </si>
  <si>
    <t>- [v. Gramática 5.]</t>
  </si>
  <si>
    <t>- Este / Ese / Aquel</t>
  </si>
  <si>
    <t>- -Esta.</t>
  </si>
  <si>
    <t>- [-¿Cuál quiere?]</t>
  </si>
  <si>
    <t>- [señalando con un gesto]</t>
  </si>
  <si>
    <t>- + sust.</t>
  </si>
  <si>
    <t>- Aquel diccionario, por favor</t>
  </si>
  <si>
    <t>- + es + SN</t>
  </si>
  <si>
    <t>- Estos son mis padres y esta, mi hermana Carlota.</t>
  </si>
  <si>
    <t>- [mostrando una fotografía]</t>
  </si>
  <si>
    <t>- [v. Funciones 5.4., Gramática 4., Nociones específicas 4.1., 4.2.]</t>
  </si>
  <si>
    <t>- Esto</t>
  </si>
  <si>
    <t>- Esto, por favor</t>
  </si>
  <si>
    <t>- Esto es Venezuela.</t>
  </si>
  <si>
    <t>- [señalando un mapa]</t>
  </si>
  <si>
    <t>- [v. Gramática 4.]</t>
  </si>
  <si>
    <t>- Nombre propio</t>
  </si>
  <si>
    <t>- Daniel trabaja en un hospital.</t>
  </si>
  <si>
    <t>- Barcelona está cerca del mar.</t>
  </si>
  <si>
    <t>## La función 'pedir información' para los niveles A1 y A2</t>
  </si>
  <si>
    <t>- Persona</t>
  </si>
  <si>
    <t>- ¿Quién es?</t>
  </si>
  <si>
    <t>- ¿Cómo te llamas?</t>
  </si>
  <si>
    <t>- ¿Cómo se llama tu hermano?</t>
  </si>
  <si>
    <t>- Cosa</t>
  </si>
  <si>
    <t>- ¿Qué es esto?</t>
  </si>
  <si>
    <t>- Lugar</t>
  </si>
  <si>
    <t>- ¿Dónde.?</t>
  </si>
  <si>
    <t>- ¿Dónde trabajas?</t>
  </si>
  <si>
    <t>- Nacionalidad</t>
  </si>
  <si>
    <t>- ¿De dónde eres?</t>
  </si>
  <si>
    <t>- Actividad</t>
  </si>
  <si>
    <t>- ¿Qué haces?</t>
  </si>
  <si>
    <t>- ¿A qué te dedicas?</t>
  </si>
  <si>
    <t>- ¿Cuál es tu profesión?</t>
  </si>
  <si>
    <t>- Cantidad</t>
  </si>
  <si>
    <t>- ¿Cuántos.?</t>
  </si>
  <si>
    <t>- ¿Cuántos años tienes?</t>
  </si>
  <si>
    <t>- ¿Cuántas lenguas hablas?</t>
  </si>
  <si>
    <t>- Hora</t>
  </si>
  <si>
    <t>- ¿Qué hora es?</t>
  </si>
  <si>
    <t>- Razón, causa</t>
  </si>
  <si>
    <t>- ¿Por qué.?</t>
  </si>
  <si>
    <t>- ¿Por qué estudias español?</t>
  </si>
  <si>
    <t>###### 1.2.1. Proponiendo alternativas</t>
  </si>
  <si>
    <t>- [v. Funciones 3.4., Gramática 14.2.]</t>
  </si>
  <si>
    <t>- ¿... o...?</t>
  </si>
  <si>
    <t>- ¿Té o café?</t>
  </si>
  <si>
    <t>## La función 'dar información' para los niveles A1 y A2</t>
  </si>
  <si>
    <t>- Datos personales</t>
  </si>
  <si>
    <t>- Enunciado declarativo</t>
  </si>
  <si>
    <t>- -Mikel.</t>
  </si>
  <si>
    <t>- -Quince.</t>
  </si>
  <si>
    <t>- -(Soy) senegalés.</t>
  </si>
  <si>
    <t>- -Soy profesor de francés.</t>
  </si>
  <si>
    <t>- [-¿Cómo te llamas?]</t>
  </si>
  <si>
    <t>- [-¿Cuántos años tienes?]</t>
  </si>
  <si>
    <t>- [-¿De dónde eres?]</t>
  </si>
  <si>
    <t>- [-¿A qué te dedicas?]</t>
  </si>
  <si>
    <t>- -Mi móvil.</t>
  </si>
  <si>
    <t>- [-¿Qué es eso?]</t>
  </si>
  <si>
    <t>- Adv. lugar, locución preposicional</t>
  </si>
  <si>
    <t>- -Aquí.</t>
  </si>
  <si>
    <t>- -En la mesa.</t>
  </si>
  <si>
    <t>- [-¿Dónde está el diccionario?]</t>
  </si>
  <si>
    <t>- [v. Gramática 8.2., Nociones generales 3.1., 3.3.]</t>
  </si>
  <si>
    <t>- Hora, tiempo</t>
  </si>
  <si>
    <t>- Adv. tiempo, locución preposicional</t>
  </si>
  <si>
    <t>- -Son las seis.</t>
  </si>
  <si>
    <t>- -Temprano.</t>
  </si>
  <si>
    <t>- -Ahora.</t>
  </si>
  <si>
    <t>- [-¿Qué hora es?]</t>
  </si>
  <si>
    <t>- [-¿A qué hora te levantas?]</t>
  </si>
  <si>
    <t>- [-¿A qué hora tienes clase de español?]</t>
  </si>
  <si>
    <t>- [v. Gramática 8.2., Nociones generales 4.1., 4.3.12.]</t>
  </si>
  <si>
    <t>- Finalidad</t>
  </si>
  <si>
    <t>- Para + inf.</t>
  </si>
  <si>
    <t>- Voy a clase para aprender español.</t>
  </si>
  <si>
    <t>- Estudio español para trabajar en Chile.</t>
  </si>
  <si>
    <t>- [v. Gramática 15.3.5.]</t>
  </si>
  <si>
    <t>- Porque...</t>
  </si>
  <si>
    <t>- -Porque quiero trabajar en Chile.</t>
  </si>
  <si>
    <t>- [-¿Por qué estudias español?]</t>
  </si>
  <si>
    <t>- [v. Gramática 15.3.4.]</t>
  </si>
  <si>
    <t>###### 1.3.1. Corrigiendo otra información previa</t>
  </si>
  <si>
    <t>- [v. Funciones 2.10.]</t>
  </si>
  <si>
    <t>- En respuesta a un enunciado afirmativo</t>
  </si>
  <si>
    <t>- No</t>
  </si>
  <si>
    <t>- + enunciado previo, negado</t>
  </si>
  <si>
    <t>- -No, no es alemana.</t>
  </si>
  <si>
    <t>- [-Katrin es alemana.]</t>
  </si>
  <si>
    <t>- + nuevo enunciado</t>
  </si>
  <si>
    <t>- -No, es austriaca.</t>
  </si>
  <si>
    <t>- En respuesta a un enunciado negativo</t>
  </si>
  <si>
    <t>- Sí</t>
  </si>
  <si>
    <t>- -Sí, es austriaca.</t>
  </si>
  <si>
    <t>- [-Katrin no es austriaca.]</t>
  </si>
  <si>
    <t>## La función 'pedir confirmación' para los niveles A1 y A2</t>
  </si>
  <si>
    <t>- ..., ¿no?</t>
  </si>
  <si>
    <t>- Eres Julián, ¿no?</t>
  </si>
  <si>
    <t>- [v. Tácticas y estrategias pragmáticas 1.2.5.]</t>
  </si>
  <si>
    <t>## La función 'confirmar la información previa' para los niveles A1 y A2</t>
  </si>
  <si>
    <t>- No + enunciado negativo previo</t>
  </si>
  <si>
    <t>- -No, no habla italiano.</t>
  </si>
  <si>
    <t>- [-Juan no habla italiano, ¿no?]</t>
  </si>
  <si>
    <t>- Sí + enunciado afirmativo previo</t>
  </si>
  <si>
    <t>- -Sí, soy alemana, de Múnich.</t>
  </si>
  <si>
    <t>- [-Eres alemana, ¿no?]</t>
  </si>
  <si>
    <t>## La función 'pedir opinión' para los niveles A1 y A2</t>
  </si>
  <si>
    <t>- Opinión + ¿Y tú?</t>
  </si>
  <si>
    <t>- Yo creo que el francés es fácil. ¿Y tú?</t>
  </si>
  <si>
    <t>- [v. Gramática 7.1.1.]</t>
  </si>
  <si>
    <t>- Opinión + ¿no?</t>
  </si>
  <si>
    <t>- Creo que esto es muy caro, ¿no?</t>
  </si>
  <si>
    <t>###### 1.2.5. ]</t>
  </si>
  <si>
    <t>## La función 'dar una opinión' para los niveles A1 y A2</t>
  </si>
  <si>
    <t>- (Yo) creo que...</t>
  </si>
  <si>
    <t>- Yo creo que Santiago es una ciudad muy bonita.</t>
  </si>
  <si>
    <t>- [v. Gramática 7.1.1., Tácticas y estrategias pragmáticas 3.1.2.]</t>
  </si>
  <si>
    <t>## La función 'pedir valoración' para los niveles A1 y A2</t>
  </si>
  <si>
    <t>- ¿Está bien?</t>
  </si>
  <si>
    <t>## La función 'valorar' para los niveles A1 y A2</t>
  </si>
  <si>
    <t>- (Muy / Bastante) bien</t>
  </si>
  <si>
    <t>- (Muy / Bastante) mal</t>
  </si>
  <si>
    <t>- Regular</t>
  </si>
  <si>
    <t>- Así, así [acompañado de movimientos rotatorios con la mano o encogimiento de hombros]</t>
  </si>
  <si>
    <t>- Es (muy / bastante / un poco) + adj.</t>
  </si>
  <si>
    <t>- El Museo del Prado es muy interesante.</t>
  </si>
  <si>
    <t>- Esta camisa es bastante fea.</t>
  </si>
  <si>
    <t>- El ejercicio es un poco difícil.</t>
  </si>
  <si>
    <t>- [v. Gramática 8.2.]</t>
  </si>
  <si>
    <t>- Movimientos de asentimiento con la cabeza [con significado equivalente a «valoración positiva»]</t>
  </si>
  <si>
    <t>- Movimientos laterales con la cabeza [con significado equivalente a «valoración negativa»]</t>
  </si>
  <si>
    <t>## La función 'expresar aprobación y desaprobación' para los niveles A1 y A2</t>
  </si>
  <si>
    <t>- ¡(Muy) mal / bien!</t>
  </si>
  <si>
    <t>- Pequeños movimientos de arriba abajo con la cabeza</t>
  </si>
  <si>
    <t>- Movimientos de izquierda a derecha con la cabeza o el dedo índice</t>
  </si>
  <si>
    <t>- Chasquidos</t>
  </si>
  <si>
    <t>## La función 'posicionarse a favor o en contra' para los niveles A1 y A2</t>
  </si>
  <si>
    <t>## La función 'preguntar si se está de acuerdo' para los niveles A1 y A2</t>
  </si>
  <si>
    <t>## La función 'invitar al acuerdo' para los niveles A1 y A2</t>
  </si>
  <si>
    <t>## La función 'expresar acuerdo' para los niveles A1 y A2</t>
  </si>
  <si>
    <t>- Sí, + repetición de una opinión / valoración afirmativa</t>
  </si>
  <si>
    <t>- -Sí, muy bonito.</t>
  </si>
  <si>
    <t>- [-Este parque es muy bonito.]</t>
  </si>
  <si>
    <t>- No, + repetición de una opinión / valoración negativa</t>
  </si>
  <si>
    <t>- -No, no es difícil.</t>
  </si>
  <si>
    <t>- [-El español no es difícil.]</t>
  </si>
  <si>
    <t>- [v. Tácticas y estrategias pragmáticas 1.7.1.]</t>
  </si>
  <si>
    <t>- Yo, también / tampoco</t>
  </si>
  <si>
    <t>- -Yo, también.</t>
  </si>
  <si>
    <t>- [-Yo creo que hablar idiomas es importante.]</t>
  </si>
  <si>
    <t>- [v. Gramática 8.5.]</t>
  </si>
  <si>
    <t>## La función 'expresar desacuerdo' para los niveles A1 y A2</t>
  </si>
  <si>
    <t>- No, + negación de una opinión / valoración previa afirmativa</t>
  </si>
  <si>
    <t>- -No, no es fácil.</t>
  </si>
  <si>
    <t>- [-Yo creo que el francés es muy fácil.]</t>
  </si>
  <si>
    <t>- Sí, + afirmación de una opinión / valoración previa negativa</t>
  </si>
  <si>
    <t>- -Sí, sí es interesante.</t>
  </si>
  <si>
    <t>- [-Esta ciudad no es interesante.]</t>
  </si>
  <si>
    <t>- (No,) + opinión / valoración contraria</t>
  </si>
  <si>
    <t>- -No, es caro.</t>
  </si>
  <si>
    <t>- [-Ese vestido es barato.]</t>
  </si>
  <si>
    <t>## La función 'mostrar escepticismo' para los niveles A1 y A2</t>
  </si>
  <si>
    <t>- No sé.</t>
  </si>
  <si>
    <t>## La función 'presentar un contraargumento' para los niveles A1 y A2</t>
  </si>
  <si>
    <t>- Sí, pero.</t>
  </si>
  <si>
    <t>- -Sí, pero es muy interesante.</t>
  </si>
  <si>
    <t>- [-Es muy difícil.]</t>
  </si>
  <si>
    <t>- Repetición de la opinión / valoración + pero...</t>
  </si>
  <si>
    <t>- -Es muy bonito, pero muy caro.</t>
  </si>
  <si>
    <t>- [-Es muy bonito.]</t>
  </si>
  <si>
    <t>## La función 'expresar certeza y evidencia' para los niveles A1 y A2</t>
  </si>
  <si>
    <t>- O. declar.</t>
  </si>
  <si>
    <t>- Mi hermana se llama Luisa.</t>
  </si>
  <si>
    <t>## La función 'expresar falta de certeza y evidencia' para los niveles A1 y A2</t>
  </si>
  <si>
    <t>- Creo que...</t>
  </si>
  <si>
    <t>- Creo que la profesora se llama Carmen.</t>
  </si>
  <si>
    <t>## La función 'expresar posibilidad' para los niveles A1 y A2</t>
  </si>
  <si>
    <t>- Es posible.</t>
  </si>
  <si>
    <t>- -Sí, es posible.</t>
  </si>
  <si>
    <t>- [-Creo que hay un aeropuerto cerca de la ciudad.]</t>
  </si>
  <si>
    <t>- Quizá(s)</t>
  </si>
  <si>
    <t>- -¿Sí? Quizá.</t>
  </si>
  <si>
    <t>- [-Creo que esa es la hermana de John.]</t>
  </si>
  <si>
    <t>## La función 'expresar obligación y necesidad' para los niveles A1 y A2</t>
  </si>
  <si>
    <t>## La función 'expresar falta de obligación o de necesidad' para los niveles A1 y A2</t>
  </si>
  <si>
    <t>## La función 'preguntar por el conocimiento de algo' para los niveles A1 y A2</t>
  </si>
  <si>
    <t>- ¿Sabes + SN / inf.?</t>
  </si>
  <si>
    <t>- ¿Sabes los números en español?</t>
  </si>
  <si>
    <t>- ¿Sabes decir «hola» en alemán?</t>
  </si>
  <si>
    <t>- ¿Conoces + SN?</t>
  </si>
  <si>
    <t>- ¿Conoces Bolivia?</t>
  </si>
  <si>
    <t>## La función 'expresar conocimiento' para los niveles A1 y A2</t>
  </si>
  <si>
    <t>- Sé...</t>
  </si>
  <si>
    <t>- + SN</t>
  </si>
  <si>
    <t>- Sé los números en español.</t>
  </si>
  <si>
    <t>- Nuria sabe griego clásico.</t>
  </si>
  <si>
    <t>- + inf.</t>
  </si>
  <si>
    <t>- Sé decir «hola» en alemán.</t>
  </si>
  <si>
    <t>- Conozco + SN</t>
  </si>
  <si>
    <t>- Conozco Bolivia.</t>
  </si>
  <si>
    <t>- Conozco a Leticia.</t>
  </si>
  <si>
    <t>## La función 'expresar desconocimiento' para los niveles A1 y A2</t>
  </si>
  <si>
    <t>- No sé</t>
  </si>
  <si>
    <t>- No sé los verbos irregulares.</t>
  </si>
  <si>
    <t>- No sé pronunciar «perro».</t>
  </si>
  <si>
    <t>- No conozco + SN</t>
  </si>
  <si>
    <t>- No conozco Granada.</t>
  </si>
  <si>
    <t>- No conozco a Sonia.</t>
  </si>
  <si>
    <t>## La función 'preguntar por la habilidad para hacer algo' para los niveles A1 y A2</t>
  </si>
  <si>
    <t>- ¿Sabes...</t>
  </si>
  <si>
    <t>- + SN?</t>
  </si>
  <si>
    <t>- ¿Sabes griego?</t>
  </si>
  <si>
    <t>- [v. Gramática 3.1.]</t>
  </si>
  <si>
    <t>- + inf.?</t>
  </si>
  <si>
    <t>- ¿Sabes tocar la guitarra?</t>
  </si>
  <si>
    <t>## La función 'expresar habilidad para hacer algo' para los niveles A1 y A2</t>
  </si>
  <si>
    <t>- Pepa no sabe alemán.</t>
  </si>
  <si>
    <t>- Sé nadar.</t>
  </si>
  <si>
    <t>## La función 'preguntar si se recuerda o se ha olvidado' para los niveles A1 y A2</t>
  </si>
  <si>
    <t>## La función 'expresar que se recuerda' para los niveles A1 y A2</t>
  </si>
  <si>
    <t>## La función 'expresar que no se recuerda' para los niveles A1 y A2</t>
  </si>
  <si>
    <t>## La función 'preguntar por gustos e intereses' para los niveles A1 y A2</t>
  </si>
  <si>
    <t>## La función 'expresar gustos e intereses' para los niveles A1 y A2</t>
  </si>
  <si>
    <t>- (No) me gusta (mucho)</t>
  </si>
  <si>
    <t>- No me gustan las discotecas.</t>
  </si>
  <si>
    <t>- [v. Gramática 3.1., 3.3., 7.1.3.]</t>
  </si>
  <si>
    <t>- Me gusta mucho bailar.</t>
  </si>
  <si>
    <t>## La función 'expresar aversión' para los niveles A1 y A2</t>
  </si>
  <si>
    <t>## La función 'preguntar por preferencias' para los niveles A1 y A2</t>
  </si>
  <si>
    <t>- ¿SN o SN?</t>
  </si>
  <si>
    <t>## La función 'expresar por preferencia' para los niveles A1 y A2</t>
  </si>
  <si>
    <t>- Prefiero.</t>
  </si>
  <si>
    <t>- Prefiero un café.</t>
  </si>
  <si>
    <t>- Prefiero bailar.</t>
  </si>
  <si>
    <t>## La función 'preguntar por deseos' para los niveles A1 y A2</t>
  </si>
  <si>
    <t>## La función 'Expresar deseos' para los niveles A1 y A2</t>
  </si>
  <si>
    <t>- Quiero + SN / inf.</t>
  </si>
  <si>
    <t>- Quiero una bicicleta nueva.</t>
  </si>
  <si>
    <t>- Quiero aprender español.</t>
  </si>
  <si>
    <t>## La función 'preguntar por planes e intenciones' para los niveles A1 y A2</t>
  </si>
  <si>
    <t>- ¿Pres. indic. + marcador temporal referido al futuro?</t>
  </si>
  <si>
    <t>- ¿Trabajas mañana?</t>
  </si>
  <si>
    <t>## La función 'expresar planes e intenciones' para los niveles A1 y A2</t>
  </si>
  <si>
    <t>- Marcador temporal referido al futuro + pres. ind.</t>
  </si>
  <si>
    <t>- Esta noche hago los deberes.</t>
  </si>
  <si>
    <t>- El domingo voy de excursión.</t>
  </si>
  <si>
    <t>## La función 'preguntar por el estado de ánimo' para los niveles A1 y A2</t>
  </si>
  <si>
    <t>## La función 'expresar alegría y satisfacción' para los niveles A1 y A2</t>
  </si>
  <si>
    <t>## La función 'expresar tristeza y aflicción' para los niveles A1 y A2</t>
  </si>
  <si>
    <t>## La función 'expresar placer y diversión' para los niveles A1 y A2</t>
  </si>
  <si>
    <t>## La función 'expresar aburrimiento' para los niveles A1 y A2</t>
  </si>
  <si>
    <t>## La función 'expresar enfado e indignación' para los niveles A1 y A2</t>
  </si>
  <si>
    <t>## La función 'expresar miedo, ansiedad y preocupación' para los niveles A1 y A2</t>
  </si>
  <si>
    <t>## La función 'expresar nerviosismo' para los niveles A1 y A2</t>
  </si>
  <si>
    <t>## La función 'expresar alivio' para los niveles A1 y A2</t>
  </si>
  <si>
    <t>## La función 'expresar sorpresa y extrañeza' para los niveles A1 y A2</t>
  </si>
  <si>
    <t>## La función 'expresar admiración y orgullo' para los niveles A1 y A2</t>
  </si>
  <si>
    <t>## La función 'expresar afecto' para los niveles A1 y A2</t>
  </si>
  <si>
    <t>## La función 'expresar sensaciones físicas' para los niveles A1 y A2</t>
  </si>
  <si>
    <t>## La función 'dar una orden o instrucción' para los niveles A1 y A2</t>
  </si>
  <si>
    <t>- De forma directa</t>
  </si>
  <si>
    <t>- Shsss [= ¡Silencio!]</t>
  </si>
  <si>
    <t>- De forma atenuada</t>
  </si>
  <si>
    <t>- Orden con omisión del verbo + atenuador</t>
  </si>
  <si>
    <t>- ¡Silencio, por favor!</t>
  </si>
  <si>
    <t>- Más despacio / alto, por favor.</t>
  </si>
  <si>
    <t>- ¿Puedes repetir?</t>
  </si>
  <si>
    <t>## La función 'pedir un favor' para los niveles A1 y A2</t>
  </si>
  <si>
    <t>## La función 'pedir objetos' para los niveles A1 y A2</t>
  </si>
  <si>
    <t>- El / Un + SN + atenuador</t>
  </si>
  <si>
    <t>- Un café, por favor.</t>
  </si>
  <si>
    <t>## La función 'pedir ayuda' para los niveles A1 y A2</t>
  </si>
  <si>
    <t>- Por favor [indicando con un gesto la acción que se quiere realizar]</t>
  </si>
  <si>
    <t>## La función 'responder a una orden, petición o ruego' para los niveles A1 y A2</t>
  </si>
  <si>
    <t>###### 4.7.1. Accediendo a su cumplimiento</t>
  </si>
  <si>
    <t>- Sí, sí</t>
  </si>
  <si>
    <t>- -Sí, sí.</t>
  </si>
  <si>
    <t>- [-¿Puedes dejarme tu bolígrafo un momento, por favor?]</t>
  </si>
  <si>
    <t>###### 4.7.2. [-]</t>
  </si>
  <si>
    <t>###### 4.7.3. Negándose a su cumplimiento</t>
  </si>
  <si>
    <t>- De forma tajante</t>
  </si>
  <si>
    <t>###### 1.7.1. ]</t>
  </si>
  <si>
    <t>## La función 'pedir permiso' para los niveles A1 y A2</t>
  </si>
  <si>
    <t>## La función 'dar permiso' para los niveles A1 y A2</t>
  </si>
  <si>
    <t>- Sin objeciones</t>
  </si>
  <si>
    <t>## La función 'denegar permiso' para los niveles A1 y A2</t>
  </si>
  <si>
    <t>- No + atenuador</t>
  </si>
  <si>
    <t>- -No, lo siento.</t>
  </si>
  <si>
    <t>- -No. Perdón.</t>
  </si>
  <si>
    <t>- [-¿Puedo fumar?]</t>
  </si>
  <si>
    <t>## La función 'ofrecer e invitar' para los niveles A1 y A2</t>
  </si>
  <si>
    <t>- ¿(Quieres) un / una...?</t>
  </si>
  <si>
    <t>- ¿Quieres una copa?</t>
  </si>
  <si>
    <t>- ¿SN?</t>
  </si>
  <si>
    <t>- ¿Un café?</t>
  </si>
  <si>
    <t>- ¿Una cerveza?</t>
  </si>
  <si>
    <t>- ¿Un cigarrillo?</t>
  </si>
  <si>
    <t>## La función 'solicitar confirmación de una propuesta previa' para los niveles A1 y A2</t>
  </si>
  <si>
    <t>## La función 'aceptar una propuesta, ofrecimiento o invitación' para los niveles A1 y A2</t>
  </si>
  <si>
    <t>- Sin reservas</t>
  </si>
  <si>
    <t>- Sí, gracias</t>
  </si>
  <si>
    <t>## La función 'rechazar una propuesta, ofrecimiento o invitación' para los niveles A1 y A2</t>
  </si>
  <si>
    <t>- No, (muchas) gracias</t>
  </si>
  <si>
    <t>## La función 'aconsejar' para los niveles A1 y A2</t>
  </si>
  <si>
    <t>## La función 'advertir' para los niveles A1 y A2</t>
  </si>
  <si>
    <t>## La función 'ofrecerse para hacer algo' para los niveles A1 y A2</t>
  </si>
  <si>
    <t>## La función 'saludar' para los niveles A1 y A2</t>
  </si>
  <si>
    <t>- Hola</t>
  </si>
  <si>
    <t>- Buenos / as días / tardes / noches</t>
  </si>
  <si>
    <t>## La función 'responder a un saludo' para los niveles A1 y A2</t>
  </si>
  <si>
    <t>## La función 'dirigirse a alguien' para los niveles A1 y A2</t>
  </si>
  <si>
    <t>- Hola + nombre de pila</t>
  </si>
  <si>
    <t>- Hola, Maite.</t>
  </si>
  <si>
    <t>- Señor / Señora + apellido</t>
  </si>
  <si>
    <t>- Sr. López</t>
  </si>
  <si>
    <t>- [v. Gramática 1.1.1., Tácticas y estrategias pragmáticas 3.1.1.]</t>
  </si>
  <si>
    <t>- Por favor</t>
  </si>
  <si>
    <t>## La función 'presentar a alguien' para los niveles A1 y A2</t>
  </si>
  <si>
    <t>- Presentaciones informales</t>
  </si>
  <si>
    <t>- Este es + nombre de pila</t>
  </si>
  <si>
    <t>- Esta es Ana.</t>
  </si>
  <si>
    <t>- [v. Tácticas y estrategias pragmáticas 1.3.3.]</t>
  </si>
  <si>
    <t>- Presentarse uno mismo</t>
  </si>
  <si>
    <t>- Saludo + Soy / Me llamo + nombre de pila + profesión</t>
  </si>
  <si>
    <t>- Hola, soy Pedro, ¿qué tal?</t>
  </si>
  <si>
    <t>- Buenas tardes, me llamo Julio López Arganda; soy estudiante de informática.</t>
  </si>
  <si>
    <t>## La función 'responder a una presentación' para los niveles A1 y A2</t>
  </si>
  <si>
    <t>- Encantado</t>
  </si>
  <si>
    <t>- Hola, ¿qué tal?</t>
  </si>
  <si>
    <t>## La función 'dar la bienvenida a alguien' para los niveles A1 y A2</t>
  </si>
  <si>
    <t>## La función 'responder a una bienvenida' para los niveles A1 y A2</t>
  </si>
  <si>
    <t>## La función 'disculparse' para los niveles A1 y A2</t>
  </si>
  <si>
    <t>- Perdón.</t>
  </si>
  <si>
    <t>## La función 'responder a una disculpa' para los niveles A1 y A2</t>
  </si>
  <si>
    <t>## La función 'agradecer' para los niveles A1 y A2</t>
  </si>
  <si>
    <t>- (Muchas) gracias</t>
  </si>
  <si>
    <t>## La función 'responder a un agradecimiento' para los niveles A1 y A2</t>
  </si>
  <si>
    <t>## La función 'dar el pésame' para los niveles A1 y A2</t>
  </si>
  <si>
    <t>- Lo siento.</t>
  </si>
  <si>
    <t>## La función 'proponer un brindis' para los niveles A1 y A2</t>
  </si>
  <si>
    <t>- ¡Salud!</t>
  </si>
  <si>
    <t>## La función 'felicitar' para los niveles A1 y A2</t>
  </si>
  <si>
    <t>- ¡Felicidades!</t>
  </si>
  <si>
    <t>## La función 'formular buenos deseos' para los niveles A1 y A2</t>
  </si>
  <si>
    <t>## La función 'responder a felicitaciones y buenos deseos' para los niveles A1 y A2</t>
  </si>
  <si>
    <t>## La función 'despedirse' para los niveles A1 y A2</t>
  </si>
  <si>
    <t>- ¡Adiós!</t>
  </si>
  <si>
    <t>- Adiós, buenos / as días / tardes / noches</t>
  </si>
  <si>
    <t>- Hasta mañana</t>
  </si>
  <si>
    <t>- Hasta el + día de la semana</t>
  </si>
  <si>
    <t>- Hasta el jueves.</t>
  </si>
  <si>
    <t>- ¡Chao!</t>
  </si>
  <si>
    <t>## La función 'establecer la comunicación y reaccionar' para los niveles A1 y A2</t>
  </si>
  <si>
    <t>###### 6.1.1. Establecer la comunicación</t>
  </si>
  <si>
    <t>- [v. Funciones 5.3.]</t>
  </si>
  <si>
    <t>- [conversación cara a cara]</t>
  </si>
  <si>
    <t>- Llamada de atención verbal</t>
  </si>
  <si>
    <t>- ¡Eh!</t>
  </si>
  <si>
    <t>- Nombre</t>
  </si>
  <si>
    <t>- María</t>
  </si>
  <si>
    <t>- Contacto visual</t>
  </si>
  <si>
    <t>- Llamada de atención no verbal: señal con la mano, gesto facial.</t>
  </si>
  <si>
    <t>###### 6.1.2. Reaccionar</t>
  </si>
  <si>
    <t>- ¿Sí?</t>
  </si>
  <si>
    <t>## La función 'saludar y responder a un saludo' para los niveles A1 y A2</t>
  </si>
  <si>
    <t>###### 6.2.1. Saludar</t>
  </si>
  <si>
    <t>- [v. Funciones 5.1., Saberes y comportamientos socioculturales 2., Géneros discursivos y productos textuales 2.]</t>
  </si>
  <si>
    <t>###### 6.2.2. Responder a un saludo</t>
  </si>
  <si>
    <t>- [v. Funciones 5.2., Saberes y comportamientos socioculturales 2., Géneros discursivos y productos textuales 2.]</t>
  </si>
  <si>
    <t>## La función 'preguntar por una persona y responder' para los niveles A1 y A2</t>
  </si>
  <si>
    <t>###### 6.3.1. Preguntar por una persona</t>
  </si>
  <si>
    <t>- ¿El Sr. + apellido + por favor?</t>
  </si>
  <si>
    <t>- ¿El Sr. González, por favor?</t>
  </si>
  <si>
    <t>###### 6.3.2. Responder</t>
  </si>
  <si>
    <t>- Identificándose</t>
  </si>
  <si>
    <t>- Sí, soy yo.</t>
  </si>
  <si>
    <t>- -Sí, soy yo.</t>
  </si>
  <si>
    <t>- [-Hola, ¿eres Antonio?]</t>
  </si>
  <si>
    <t>## La función 'pedir una extensión o habitación y responder' para los niveles A1 y A2</t>
  </si>
  <si>
    <t>## La función 'preguntar si se puede dejar un recado' para los niveles A1 y A2</t>
  </si>
  <si>
    <t>## La función 'solicitar que comience un relato y reaccionar' para los niveles A1 y A2</t>
  </si>
  <si>
    <t>## La función 'introducir el tema del relato y reaccionar' para los niveles A1 y A2</t>
  </si>
  <si>
    <t>## La función 'indicar que se sigue el relato con interés' para los niveles A1 y A2</t>
  </si>
  <si>
    <t>- [conversaciones cara a cara y telefónicas]</t>
  </si>
  <si>
    <t>## La función 'organizar la información' para los niveles A1 y A2</t>
  </si>
  <si>
    <t>## La función 'interrumpir' para los niveles A1 y A2</t>
  </si>
  <si>
    <t>## La función 'pedir a alguien que guarde silencio' para los niveles A1 y A2</t>
  </si>
  <si>
    <t>- [conversaciones cara a cara]</t>
  </si>
  <si>
    <t>- Shhhh</t>
  </si>
  <si>
    <t>- Silencio, por favor</t>
  </si>
  <si>
    <t>- Shhhh, silencio, por favor</t>
  </si>
  <si>
    <t>## La función 'concluir el relato' para los niveles A1 y A2</t>
  </si>
  <si>
    <t>## La función 'proponer el cierre' para los niveles A1 y A2</t>
  </si>
  <si>
    <t>- Comportamiento no verbal.</t>
  </si>
  <si>
    <t>- Mirar el reloj; recoger las cosas.</t>
  </si>
  <si>
    <t>## Mantenimiento del referente y del hilo discursivo para los niveles A1 y A2</t>
  </si>
  <si>
    <t>###### 1.1.1. Recursos gramaticales</t>
  </si>
  <si>
    <t>- Sustitución por proformas</t>
  </si>
  <si>
    <t>- Pronombre personal, demostrativos, posesivos, con función anafórica</t>
  </si>
  <si>
    <t>- Mi tío se llama Juan. Mi tía y él viven en Berlín.</t>
  </si>
  <si>
    <t>- Sustitución por Ø</t>
  </si>
  <si>
    <t>- Elipsis del sujeto</t>
  </si>
  <si>
    <t>- Mi hermana se llama María y vive en Salamanca.</t>
  </si>
  <si>
    <t>- Yo trabajo en un banco.</t>
  </si>
  <si>
    <t>- [Hispanoamérica] Tendencia a expresar sujetos pronominales, sobre todo para la persona que representa al emisor-agente</t>
  </si>
  <si>
    <t>## Marcadores del discurso para los niveles A1 y A2</t>
  </si>
  <si>
    <t>###### 1.2.1. Conectores</t>
  </si>
  <si>
    <t>- Aditivos: y, también</t>
  </si>
  <si>
    <t>- Tengo dos hermanos y una hermana. Yo también soy médico.</t>
  </si>
  <si>
    <t>- [v. Tácticas y estrategias pragmáticas 1.2.4., 1.4.1.]</t>
  </si>
  <si>
    <t>- Contraargumentativos: pero</t>
  </si>
  <si>
    <t>- Tengo un hijo, pero no estoy casado.</t>
  </si>
  <si>
    <t>- [v. Gramática 14.3.]</t>
  </si>
  <si>
    <t>- Justificativos: porque</t>
  </si>
  <si>
    <t>- Estudio español porque quiero viajar a Bolivia.</t>
  </si>
  <si>
    <t>###### 1.2.2. [-]</t>
  </si>
  <si>
    <t>###### 1.2.3. [-]</t>
  </si>
  <si>
    <t>###### 1.2.4. Operadores discursivos</t>
  </si>
  <si>
    <t>- Focalizadores</t>
  </si>
  <si>
    <t>- Para destacar un elemento: también, tampoco</t>
  </si>
  <si>
    <t>- Yo tampoco voy.</t>
  </si>
  <si>
    <t>- [v. Tácticas y estrategias pragmáticas 1.2.1., 1.4.1.]</t>
  </si>
  <si>
    <t>- De concreción o especificación: por ejemplo</t>
  </si>
  <si>
    <t>###### 1.2.5. Controladores del contacto</t>
  </si>
  <si>
    <t>- Formas en modalidad interrogativa: ¿no?, ¿eh?</t>
  </si>
  <si>
    <t>- [v. Funciones 1.4., 2.1.]</t>
  </si>
  <si>
    <t>## La deixis para los niveles A1 y A2</t>
  </si>
  <si>
    <t>###### 1.3.1. Espacial</t>
  </si>
  <si>
    <t>- Situación con respecto al Yo y al otro</t>
  </si>
  <si>
    <t>- Adverbios deícticos: aquí, ahí, allí</t>
  </si>
  <si>
    <t>- Verbos de dirección: ir, venir</t>
  </si>
  <si>
    <t>- Voy a trabajar en coche.</t>
  </si>
  <si>
    <t>- Demostrativos</t>
  </si>
  <si>
    <t>- v. Gramática 4.]</t>
  </si>
  <si>
    <t>- [</t>
  </si>
  <si>
    <t>- Cercanía o lejanía respecto al hablante y al oyente</t>
  </si>
  <si>
    <t>- este / ese / aquel libro</t>
  </si>
  <si>
    <t>- Demostrativo neutro para identificar un objeto</t>
  </si>
  <si>
    <t>- -¿Qué es eso?</t>
  </si>
  <si>
    <t>- -Un rotulador.</t>
  </si>
  <si>
    <t>###### 1.3.2. Temporal</t>
  </si>
  <si>
    <t>- Distancia temporal</t>
  </si>
  <si>
    <t>- Adverbios pronominales deícticos: ahora, hoy, mañana.</t>
  </si>
  <si>
    <t>- Mañana es mi cumpleaños.</t>
  </si>
  <si>
    <t>- Hoy es lunes.</t>
  </si>
  <si>
    <t>- Hispanoamérica] Uso de hoy día por en nuestros días</t>
  </si>
  <si>
    <t>###### 1.3.3. Personal</t>
  </si>
  <si>
    <t>- Pronombre personal</t>
  </si>
  <si>
    <t>- Presencia del pronombre sujeto con valor de contraste</t>
  </si>
  <si>
    <t>- Yo me llamo Elena, ¿y tú?</t>
  </si>
  <si>
    <t>- Mira, este es mi hermano.</t>
  </si>
  <si>
    <t>- [v. Funciones 5.4.]</t>
  </si>
  <si>
    <t>## Desplazamiento en el orden de los elementos oracionales para los niveles A1 y A2</t>
  </si>
  <si>
    <t>###### 1.4.1. Rematización</t>
  </si>
  <si>
    <t>- Posposición del sujeto o del atributo</t>
  </si>
  <si>
    <t>- Soy María.</t>
  </si>
  <si>
    <t>- Localización temporal</t>
  </si>
  <si>
    <t>- Es lunes.</t>
  </si>
  <si>
    <t>- En interrogativas directas, con pronombres interrogativos qué, quién, cuánto, adverbios interrogativos dónde, cómo, locución interrogativa por qué</t>
  </si>
  <si>
    <t>- ¿Cuánto vale el coche?</t>
  </si>
  <si>
    <t>- ¿Dónde está Rosa?</t>
  </si>
  <si>
    <t>- ¿Por qué llora tu hermano?</t>
  </si>
  <si>
    <t>- Marcadores discursivos</t>
  </si>
  <si>
    <t>- Incluyentes: también, tampoco</t>
  </si>
  <si>
    <t>- Yo también / tampoco voy.</t>
  </si>
  <si>
    <t>- Ha sido un comienzo de curso muy difícil.</t>
  </si>
  <si>
    <t>- Construcciones que introducen información nueva</t>
  </si>
  <si>
    <t>- Hay + SN indefinido + locativo</t>
  </si>
  <si>
    <t>- Hay un libro en la mesa.</t>
  </si>
  <si>
    <t>- Uso del artículo indefinido en primera mención</t>
  </si>
  <si>
    <t>- Es una película muy interesante.</t>
  </si>
  <si>
    <t>###### 1.4.2. Tematización</t>
  </si>
  <si>
    <t>- Uso del artículo definido</t>
  </si>
  <si>
    <t>- Sintagma nominal determinado + oración relativa con indicativo</t>
  </si>
  <si>
    <t>- La chica que lleva gafas es mi prima.</t>
  </si>
  <si>
    <t>## Valores ilocutivos de los enunciados interrogativos para los niveles A1 y A2</t>
  </si>
  <si>
    <t>###### 1.6.1. Interrogativos neutros</t>
  </si>
  <si>
    <t>- [v. Pronunciación y prosodia 2.3., 2.4.]</t>
  </si>
  <si>
    <t>- Pregunta real</t>
  </si>
  <si>
    <t>- Saludo</t>
  </si>
  <si>
    <t>- ¿Qué tal?</t>
  </si>
  <si>
    <t>- [v. Saberes y comportamientos socioculturales 2.]</t>
  </si>
  <si>
    <t>## La expresión de la negación para los niveles A1 y A2</t>
  </si>
  <si>
    <t>###### 1.7.1. Tipos de negación</t>
  </si>
  <si>
    <t>- Directa</t>
  </si>
  <si>
    <t>- Para responder a preguntas</t>
  </si>
  <si>
    <t>- -¿Eres griego?</t>
  </si>
  <si>
    <t>- -No. / No, soy italiano.</t>
  </si>
  <si>
    <t>- -No.</t>
  </si>
  <si>
    <t>- [Hispanoamérica] Simple negación</t>
  </si>
  <si>
    <t>- Para autocorregirse</t>
  </si>
  <si>
    <t>- No es así.</t>
  </si>
  <si>
    <t>- Reiterada</t>
  </si>
  <si>
    <t>- Para corregir un enunciado afirmativo previo</t>
  </si>
  <si>
    <t>- -Madrid está en la costa.</t>
  </si>
  <si>
    <t>- -No, no está en la costa.</t>
  </si>
  <si>
    <t>- Para expresar acuerdo con una declaración previa</t>
  </si>
  <si>
    <t>- -No es difícil.</t>
  </si>
  <si>
    <t>## Los valores modales de la entonación y de otros elementos suprasegmentales para los niveles A1 y A2</t>
  </si>
  <si>
    <t>- Entonación</t>
  </si>
  <si>
    <t>- Función modal primaria (valores comunicativos básicos)</t>
  </si>
  <si>
    <t>- Tonema descendente (↓) en aseveraciones</t>
  </si>
  <si>
    <t>- Es alemán ↓ ?</t>
  </si>
  <si>
    <t>- [v. Pronunciación y prosodia 2.2.]</t>
  </si>
  <si>
    <t>- Tonema ascendente (↑) en interrogaciones totales para solicitar información</t>
  </si>
  <si>
    <t>- ¿Eres alemán ↑?</t>
  </si>
  <si>
    <t>- [v. Funciones 1.4., Pronunciación y prosodia 2.3.]</t>
  </si>
  <si>
    <t>- Tonema descendente (↓) en interrogaciones parciales, para solicitar información (sin señalar interés)</t>
  </si>
  <si>
    <t>- ¿Cómo te llamas ↓ ?</t>
  </si>
  <si>
    <t>- [v. Pronunciación y prosodia 2.3.]</t>
  </si>
  <si>
    <t>## Desplazamiento de la perspectiva temporal para los niveles A1 y A2</t>
  </si>
  <si>
    <t>## Cortesía verbal atenuadora para los niveles A1 y A2</t>
  </si>
  <si>
    <t>###### 3.1.1. Atenuación del papel del hablante o del oyente</t>
  </si>
  <si>
    <t>- Desplazamiento pronominal de la 2.ª persona</t>
  </si>
  <si>
    <t>- A 3.ª persona</t>
  </si>
  <si>
    <t>- Con usted / ustedes para mostrar respeto social o distancia afectiva frente al interlocutor</t>
  </si>
  <si>
    <t>- ¿A qué se dedica usted?</t>
  </si>
  <si>
    <t>- [v. Saberes y comportamientos socioculturales 2.1.2.]</t>
  </si>
  <si>
    <t>- [Hispanoamérica, España: variedades meridionales, Canarias] Uso exclusivo de la forma ustedes para la 2.ª persona del plural. Ausencia de las formas vosotros / vosotras</t>
  </si>
  <si>
    <t>- [Hispanoamérica] Preferencia por el tratamiento de usted ante marcadores de desconocimiento, jerarquía, distancia social, diferencias de sexo o edad</t>
  </si>
  <si>
    <t>###### 3.1.2. Atenuación del acto amenazador</t>
  </si>
  <si>
    <t>- Verbo creer (forma afirmativa) para atenuar valoraciones o información</t>
  </si>
  <si>
    <t>- Creo que es muy difícil.</t>
  </si>
  <si>
    <t>- Creo que Sinead es irlandesa.</t>
  </si>
  <si>
    <t>- [v. Funciones 2.2.]</t>
  </si>
  <si>
    <t>- Formas rituales</t>
  </si>
  <si>
    <t>## Noción 'partes del cuerpo' para los niveles A1 y A2</t>
  </si>
  <si>
    <t>- pelo, ojo, nariz</t>
  </si>
  <si>
    <t>## Noción 'características físicas' para los niveles A1 y A2</t>
  </si>
  <si>
    <t>- ser ~ alto/bajo/gordo/ delgado/guapo/feo</t>
  </si>
  <si>
    <t>- ser ~ rubio/moreno</t>
  </si>
  <si>
    <t>- tener el pelo ~ rubio/moreno/blanco</t>
  </si>
  <si>
    <t>- llevar/tener ~ barba/bigote/gafas</t>
  </si>
  <si>
    <t>- tener los ojos ~ claros/oscuros/azules/ verdes/negros/marrones</t>
  </si>
  <si>
    <t>- tener los ojos ~ grandes/pequeños</t>
  </si>
  <si>
    <t>## Noción 'acciones y posiciones que se realizan con el cuerpo' para los niveles A1 y A2</t>
  </si>
  <si>
    <t>- levantarse, ducharse</t>
  </si>
  <si>
    <t>- escuchar</t>
  </si>
  <si>
    <t>## Noción 'ciclo de la vida y reproducción' para los niveles A1 y A2</t>
  </si>
  <si>
    <t>## Noción 'carácter y personalidad' para los niveles A1 y A2</t>
  </si>
  <si>
    <t>- simpático, antipático, inteligente, trabajador, alegre, serio, tímido, sociable</t>
  </si>
  <si>
    <t>## Noción 'sentimientos y estados de ánimo' para los niveles A1 y A2</t>
  </si>
  <si>
    <t>## Noción 'sensaciones y percepciones físicas' para los niveles A1 y A2</t>
  </si>
  <si>
    <t>## Noción 'valores personales' para los niveles A1 y A2</t>
  </si>
  <si>
    <t>## Noción 'datos personales' para los niveles A1 y A2</t>
  </si>
  <si>
    <t>###### 3.1.1. Nombre</t>
  </si>
  <si>
    <t>- nombre, (primer/segundo) ~ apellido</t>
  </si>
  <si>
    <t>- señor, señora, señores</t>
  </si>
  <si>
    <t>- firmar</t>
  </si>
  <si>
    <t>- llamarse</t>
  </si>
  <si>
    <t>###### 3.1.2. Dirección</t>
  </si>
  <si>
    <t>- dirección, correo electrónico</t>
  </si>
  <si>
    <t>- calle, avenida, paseo, plaza, piso, número, código postal</t>
  </si>
  <si>
    <t>- casa, habitación</t>
  </si>
  <si>
    <t>- país, ciudad, pueblo</t>
  </si>
  <si>
    <t>- vivir</t>
  </si>
  <si>
    <t>###### 3.1.3. Número de teléfono</t>
  </si>
  <si>
    <t>- número de teléfono</t>
  </si>
  <si>
    <t>- móvil</t>
  </si>
  <si>
    <t>###### 3.1.4. Lugar y fecha de nacimiento</t>
  </si>
  <si>
    <t>- lugar de nacimiento</t>
  </si>
  <si>
    <t>- fecha de nacimiento</t>
  </si>
  <si>
    <t>###### 3.1.5. Nacionalidad</t>
  </si>
  <si>
    <t>- nacionalidad</t>
  </si>
  <si>
    <t>- extranjero</t>
  </si>
  <si>
    <t>- español, alemán, mexicano, japonés, marroquí</t>
  </si>
  <si>
    <t>- ser ~ de Laos/de Bali/de Mozambique</t>
  </si>
  <si>
    <t>###### 3.1.6. Edad</t>
  </si>
  <si>
    <t>- [v. Nociones generales 5.13.]</t>
  </si>
  <si>
    <t>- edad</t>
  </si>
  <si>
    <t>- niño, chico, joven, viejo</t>
  </si>
  <si>
    <t>- tener ~ [número cardinal]/muchos/pocos ~ años</t>
  </si>
  <si>
    <t>###### 3.1.7. Sexo</t>
  </si>
  <si>
    <t>- hombre, mujer</t>
  </si>
  <si>
    <t>- niño, niña, chico, chica, señor, señora</t>
  </si>
  <si>
    <t>###### 3.1.8. Estado civil</t>
  </si>
  <si>
    <t>- [v. Nociones específicas 4.1., 4.3.]</t>
  </si>
  <si>
    <t>- estado civil</t>
  </si>
  <si>
    <t>- soltero, casado, viudo, separado, divorciado</t>
  </si>
  <si>
    <t>- marido, mujer</t>
  </si>
  <si>
    <t>###### 3.1.9. Profesión</t>
  </si>
  <si>
    <t>- [v. Nociones específicas 7.]</t>
  </si>
  <si>
    <t>## Noción 'documentación' para los niveles A1 y A2</t>
  </si>
  <si>
    <t>- pasaporte, carné ~ de identidad/de conducir</t>
  </si>
  <si>
    <t>## Noción 'objetos personales' para los niveles A1 y A2</t>
  </si>
  <si>
    <t>- llaves, cartera, bolso, maleta, reloj, móvil, gafas, ordenador, tarjeta de crédito</t>
  </si>
  <si>
    <t>## Noción 'relaciones familiares' para los niveles A1 y A2</t>
  </si>
  <si>
    <t>- familia, padres</t>
  </si>
  <si>
    <t>- padre, madre, hijo, hermano, tío, sobrino, abuelo, nieto, primo</t>
  </si>
  <si>
    <t>- pareja, novio</t>
  </si>
  <si>
    <t>## Noción 'relaciones sociales' para los niveles A1 y A2</t>
  </si>
  <si>
    <t>- amigo</t>
  </si>
  <si>
    <t>- jefe, compañero</t>
  </si>
  <si>
    <t>## Noción 'celebraciones y actos familiares, sociales y religiosos' para los niveles A1 y A2</t>
  </si>
  <si>
    <t>- fiesta</t>
  </si>
  <si>
    <t>## Noción 'dieta y nutrición' para los niveles A1 y A2</t>
  </si>
  <si>
    <t>- desayuno, comida, merienda, cena</t>
  </si>
  <si>
    <t>- desayunar, comer, merendar, cenar</t>
  </si>
  <si>
    <t>## Noción 'bebida' para los niveles A1 y A2</t>
  </si>
  <si>
    <t>- agua (mineral) ~ con gas/sin gas</t>
  </si>
  <si>
    <t>- leche, té, café ~ solo/con leche/cortado</t>
  </si>
  <si>
    <t>- cerveza, vino ~ blanco/tinto</t>
  </si>
  <si>
    <t>- beber</t>
  </si>
  <si>
    <t>## Noción 'alimentos' para los niveles A1 y A2</t>
  </si>
  <si>
    <t>- carne, pescado, fruta, verdura, leche, huevos, pan</t>
  </si>
  <si>
    <t>- bocadillo, sándwich, hamburguesa</t>
  </si>
  <si>
    <t>## Noción 'recetas' para los niveles A1 y A2</t>
  </si>
  <si>
    <t>## Noción 'platos' para los niveles A1 y A2</t>
  </si>
  <si>
    <t>- primer/segundo ~ plato, postre</t>
  </si>
  <si>
    <t>- sopa, ensalada, paella, tortilla</t>
  </si>
  <si>
    <t>## Noción 'utensilios de cocina y mesa' para los niveles A1 y A2</t>
  </si>
  <si>
    <t>## Noción 'restaurante' para los niveles A1 y A2</t>
  </si>
  <si>
    <t>- bar, restaurante</t>
  </si>
  <si>
    <t>- camarero</t>
  </si>
  <si>
    <t>- mesa</t>
  </si>
  <si>
    <t>- el menú, la cuenta</t>
  </si>
  <si>
    <t>## Noción 'centros e instituciones educativas' para los niveles A1 y A2</t>
  </si>
  <si>
    <t>- instituto, universidad</t>
  </si>
  <si>
    <t>- clase, biblioteca</t>
  </si>
  <si>
    <t>## Noción 'profesorado y alumnado' para los niveles A1 y A2</t>
  </si>
  <si>
    <t>- profesor, estudiante, director, compañero</t>
  </si>
  <si>
    <t>## Noción 'sistema educativo' para los niveles A1 y A2</t>
  </si>
  <si>
    <t>- clase ~ de español/de matemáticas/de historia</t>
  </si>
  <si>
    <t>- horario</t>
  </si>
  <si>
    <t>- examen</t>
  </si>
  <si>
    <t>## Noción 'aprendizaje y enseñanza' para los niveles A1 y A2</t>
  </si>
  <si>
    <t>- aprender, estudiar</t>
  </si>
  <si>
    <t>- ir a clase</t>
  </si>
  <si>
    <t>## Noción 'exámenes y calificaciones' para los niveles A1 y A2</t>
  </si>
  <si>
    <t>- hacer/tener ~ un examen</t>
  </si>
  <si>
    <t>## Noción 'lenguaje de aula' para los niveles A1 y A2</t>
  </si>
  <si>
    <t>- ejercicio, actividad</t>
  </si>
  <si>
    <t>- lección, unidad, página</t>
  </si>
  <si>
    <t>- pregunta</t>
  </si>
  <si>
    <t>- profesor, compañero</t>
  </si>
  <si>
    <t>- en parejas, en grupos</t>
  </si>
  <si>
    <t>- hablar, escuchar, leer, escribir</t>
  </si>
  <si>
    <t>- entender, comprender, saber</t>
  </si>
  <si>
    <t>- repetir</t>
  </si>
  <si>
    <t>- practicar</t>
  </si>
  <si>
    <t>- hacer ~ los deberes/un ejercicio/una actividad/un examen</t>
  </si>
  <si>
    <t>## Noción 'material educativo y mobiliario de aula' para los niveles A1 y A2</t>
  </si>
  <si>
    <t>- Internet, libro, diccionario</t>
  </si>
  <si>
    <t>- papel, bolígrafo, lápiz, goma, fotocopia</t>
  </si>
  <si>
    <t>- mesa, silla, armario, estantería</t>
  </si>
  <si>
    <t>- pizarra, ordenador, mapa</t>
  </si>
  <si>
    <t>## Noción 'profesiones y cargos' para los niveles A1 y A2</t>
  </si>
  <si>
    <t>- abogado, médico, profesor, taxista, ama de casa</t>
  </si>
  <si>
    <t>- jefe, director</t>
  </si>
  <si>
    <t>- ser ~ camarero/ingeniero</t>
  </si>
  <si>
    <t>- trabajar (en), dedicarse a</t>
  </si>
  <si>
    <t>## Noción 'lugares, herramientas y ropa de trabajo' para los niveles A1 y A2</t>
  </si>
  <si>
    <t>- Lugares de trabajo</t>
  </si>
  <si>
    <t>- empresa, oficina, tienda</t>
  </si>
  <si>
    <t>- Herramientas de un auxiliar administrativo</t>
  </si>
  <si>
    <t>- [ejemplo propuesto]</t>
  </si>
  <si>
    <t>- Internet, ordenador, teléfono, fax</t>
  </si>
  <si>
    <t>## Noción 'actividad laboral' para los niveles A1 y A2</t>
  </si>
  <si>
    <t>- trabajo, profesión</t>
  </si>
  <si>
    <t>- trabajar, dedicarse a</t>
  </si>
  <si>
    <t>- comprar, vender</t>
  </si>
  <si>
    <t>## Noción 'desempleo y búsqueda de trabajo' para los niveles A1 y A2</t>
  </si>
  <si>
    <t>- estar en paro</t>
  </si>
  <si>
    <t>- tener trabajo</t>
  </si>
  <si>
    <t>## Noción 'derechos y obligaciones laborales' para los niveles A1 y A2</t>
  </si>
  <si>
    <t>- trabajo, vacaciones</t>
  </si>
  <si>
    <t>- trabajar</t>
  </si>
  <si>
    <t>- tener vacaciones</t>
  </si>
  <si>
    <t>## Noción 'características de un trabajador' para los niveles A1 y A2</t>
  </si>
  <si>
    <t>- ser trabajador</t>
  </si>
  <si>
    <t>## Noción 'tiempo libre y entretenimiento' para los niveles A1 y A2</t>
  </si>
  <si>
    <t>- vacaciones, turista</t>
  </si>
  <si>
    <t>- oficina de ~ información/turismo</t>
  </si>
  <si>
    <t>- viajar</t>
  </si>
  <si>
    <t>- leer ~ el periódico/un libro/una revista</t>
  </si>
  <si>
    <t>- [v. Nociones específicas 9.4.]</t>
  </si>
  <si>
    <t>- ver ~ la televisión/una película</t>
  </si>
  <si>
    <t>- escuchar ~ música/la radio/una canción</t>
  </si>
  <si>
    <t>- ir ~ a un bar/a una discoteca/a un café/a un restaurante/a un museo</t>
  </si>
  <si>
    <t>- ir ~ al cine/al teatro/al parque</t>
  </si>
  <si>
    <t>- cantar, bailar</t>
  </si>
  <si>
    <t>## Noción 'espectáculos y exposiciones' para los niveles A1 y A2</t>
  </si>
  <si>
    <t>- película, concierto</t>
  </si>
  <si>
    <t>- ir ~ al teatro/al cine/al circo</t>
  </si>
  <si>
    <t>- ir a un concierto</t>
  </si>
  <si>
    <t>## Noción 'deportes' para los niveles A1 y A2</t>
  </si>
  <si>
    <t>- correr, nadar, esquiar</t>
  </si>
  <si>
    <t>- hacer ~ deporte/ejercicio/gimnasia</t>
  </si>
  <si>
    <t>- jugar ~ al fútbol/al baloncesto/al tenis</t>
  </si>
  <si>
    <t>## Noción 'juegos' para los niveles A1 y A2</t>
  </si>
  <si>
    <t>- juego</t>
  </si>
  <si>
    <t>- compañero (de juego)</t>
  </si>
  <si>
    <t>## Noción 'información y comunicación' para los niveles A1 y A2</t>
  </si>
  <si>
    <t>- televisión, radio, correo electrónico, teléfono</t>
  </si>
  <si>
    <t>## Noción 'correspondencia escrita' para los niveles A1 y A2</t>
  </si>
  <si>
    <t>- sobre, sello, papel</t>
  </si>
  <si>
    <t>- escribir ~ una postal/una carta/un mensaje electrónico</t>
  </si>
  <si>
    <t>## Noción 'teléfono' para los niveles A1 y A2</t>
  </si>
  <si>
    <t>- teléfono ~ fijo/móvil</t>
  </si>
  <si>
    <t>## Noción 'prensa escrita' para los niveles A1 y A2</t>
  </si>
  <si>
    <t>- quiosco</t>
  </si>
  <si>
    <t>- leer ~ un periódico/una revista</t>
  </si>
  <si>
    <t>## Noción 'televisión y radio' para los niveles A1 y A2</t>
  </si>
  <si>
    <t>- ver la televisión</t>
  </si>
  <si>
    <t>- escuchar la radio</t>
  </si>
  <si>
    <t>- Internet</t>
  </si>
  <si>
    <t>- arroba, guión, guión bajo, punto</t>
  </si>
  <si>
    <t>- página web</t>
  </si>
  <si>
    <t>- correo electrónico</t>
  </si>
  <si>
    <t>## Noción 'acciones relacionadas con la vivienda' para los niveles A1 y A2</t>
  </si>
  <si>
    <t>###### 10.1.1. [-]</t>
  </si>
  <si>
    <t>###### 10.1.2. Compra y alquiler</t>
  </si>
  <si>
    <t>- comprar/vender/alquilar ~ un piso/un apartamento</t>
  </si>
  <si>
    <t>###### 10.1.3. Ocupación</t>
  </si>
  <si>
    <t>- [v. Saberes y comportamientos socioculturales 1.9.]</t>
  </si>
  <si>
    <t>- vivir ~ en una casa/en un apartamento/en un piso</t>
  </si>
  <si>
    <t>## Noción 'características de la vivienda' para los niveles A1 y A2</t>
  </si>
  <si>
    <t>###### 10.2.1. Tipos</t>
  </si>
  <si>
    <t>- casa, piso, apartamento, estudio</t>
  </si>
  <si>
    <t>###### 10.2.2. Partes</t>
  </si>
  <si>
    <t>- habitación</t>
  </si>
  <si>
    <t>- ascensor, escalera</t>
  </si>
  <si>
    <t>- terraza, jardín</t>
  </si>
  <si>
    <t>- ventana, puerta</t>
  </si>
  <si>
    <t>- sala de estar, dormitorio, cocina, (cuarto de) baño, salón, garaje</t>
  </si>
  <si>
    <t>###### 10.2.3. [-]</t>
  </si>
  <si>
    <t>###### 10.2.4. Condiciones</t>
  </si>
  <si>
    <t>- viejo, nuevo</t>
  </si>
  <si>
    <t>- piso ~ exterior/interior/céntrico</t>
  </si>
  <si>
    <t>- bien/mal ~ comunicado</t>
  </si>
  <si>
    <t>- tener ~ ascensor/teléfono/ aire acondicionado/calefacción (central/individual)</t>
  </si>
  <si>
    <t>## Noción 'actividades domésticas' para los niveles A1 y A2</t>
  </si>
  <si>
    <t>###### 10.3.1. Limpieza de la casa</t>
  </si>
  <si>
    <t>- [v. Nociones generales 5.15.]</t>
  </si>
  <si>
    <t>## Noción 'objetos domésticos' para los niveles A1 y A2</t>
  </si>
  <si>
    <t>###### 10.4.1. Muebles y objetos domésticos</t>
  </si>
  <si>
    <t>- Muebles y objetos básicos</t>
  </si>
  <si>
    <t>- mesa, silla, cama, sofá</t>
  </si>
  <si>
    <t>- sillón, armario, estantería</t>
  </si>
  <si>
    <t>- ducha, lavabo</t>
  </si>
  <si>
    <t>###### 10.4.2. Electrodomésticos</t>
  </si>
  <si>
    <t>- radio, televisión (TV), vídeo, DVD</t>
  </si>
  <si>
    <t>## Noción 'servicio postal' para los niveles A1 y A2</t>
  </si>
  <si>
    <t>- carta, postal</t>
  </si>
  <si>
    <t>- código postal</t>
  </si>
  <si>
    <t>## Noción 'servicios financieros' para los niveles A1 y A2</t>
  </si>
  <si>
    <t>- banco</t>
  </si>
  <si>
    <t>- dinero, euro, céntimo (de euro)</t>
  </si>
  <si>
    <t>- tarjeta (de crédito)</t>
  </si>
  <si>
    <t>- cambiar dinero</t>
  </si>
  <si>
    <t>## Noción 'servicios sanitarios' para los niveles A1 y A2</t>
  </si>
  <si>
    <t>- hospital</t>
  </si>
  <si>
    <t>- médico, enfermera</t>
  </si>
  <si>
    <t>## Noción 'servicios de protección y seguridad' para los niveles A1 y A2</t>
  </si>
  <si>
    <t>- policía, bombero</t>
  </si>
  <si>
    <t>## Noción 'servicios sociales' para los niveles A1 y A2</t>
  </si>
  <si>
    <t>## Noción 'lugares, personas y actividades' para los niveles A1 y A2</t>
  </si>
  <si>
    <t>- (super)mercado, tienda</t>
  </si>
  <si>
    <t>- salida, información</t>
  </si>
  <si>
    <t>- comprador, vendedor</t>
  </si>
  <si>
    <t>## Noción 'ropa, calzado y complementos' para los niveles A1 y A2</t>
  </si>
  <si>
    <t>- pantalones, (pantalones) vaqueros, falda, camisa, jersey, zapatos, bolso</t>
  </si>
  <si>
    <t>## Noción 'alimentación' para los niveles A1 y A2</t>
  </si>
  <si>
    <t>## Noción 'pagos' para los niveles A1 y A2</t>
  </si>
  <si>
    <t>- precio</t>
  </si>
  <si>
    <t>- dinero, billete, euro, céntimo (de euro), tarjeta</t>
  </si>
  <si>
    <t>- pagar con tarjeta</t>
  </si>
  <si>
    <t>## Noción 'salud y enfermedades' para los niveles A1 y A2</t>
  </si>
  <si>
    <t>- estar ~ enfermo/malo</t>
  </si>
  <si>
    <t>## Noción 'síntomas' para los niveles A1 y A2</t>
  </si>
  <si>
    <t>## Noción 'centros de asistencia sanitaria' para los niveles A1 y A2</t>
  </si>
  <si>
    <t>- médico, enfermero</t>
  </si>
  <si>
    <t>- ir ~ al hospital/al médico</t>
  </si>
  <si>
    <t>## Noción 'medicina y medicamentos' para los niveles A1 y A2</t>
  </si>
  <si>
    <t>- farmacia</t>
  </si>
  <si>
    <t>## Noción 'higiene' para los niveles A1 y A2</t>
  </si>
  <si>
    <t>- agua, jabón</t>
  </si>
  <si>
    <t>- lavarse ~ la cara/las manos/el pelo/los dientes</t>
  </si>
  <si>
    <t>- ducharse, bañarse</t>
  </si>
  <si>
    <t>## Noción 'estética' para los niveles A1 y A2</t>
  </si>
  <si>
    <t>## Noción 'viajes' para los niveles A1 y A2</t>
  </si>
  <si>
    <t>###### 14.1.1. Objetos y documentos relacionados con los viajes</t>
  </si>
  <si>
    <t>- carné de identidad, pasaporte</t>
  </si>
  <si>
    <t>- maleta, bolso</t>
  </si>
  <si>
    <t>- plano, mapa</t>
  </si>
  <si>
    <t>- información, publicidad</t>
  </si>
  <si>
    <t>- comprar un billete ~ de ida/de ida y vuelta</t>
  </si>
  <si>
    <t>###### 14.1.2. Tipos de viajes</t>
  </si>
  <si>
    <t>- oficina de información y turismo</t>
  </si>
  <si>
    <t>- ir ~ a Madrid/a la playa/a la montaña/al campo</t>
  </si>
  <si>
    <t>- La playa</t>
  </si>
  <si>
    <t>- v. Nociones específicas 8.3., 20.2.2., 20.4.]</t>
  </si>
  <si>
    <t>- ir a la playa</t>
  </si>
  <si>
    <t>- La montaña</t>
  </si>
  <si>
    <t>- v. Nociones específicas 20.2.2., 20.4., 20.5., 20.6.]</t>
  </si>
  <si>
    <t>- ir a la montaña</t>
  </si>
  <si>
    <t>## Noción 'alojamiento' para los niveles A1 y A2</t>
  </si>
  <si>
    <t>- hotel, habitación, campin</t>
  </si>
  <si>
    <t>- habitación ~ doble/individual/con ~ baño/teléfono/televisión/aire acondicionado</t>
  </si>
  <si>
    <t>## Noción 'sistema de transporte' para los niveles A1 y A2</t>
  </si>
  <si>
    <t>###### 14.3.1. Red de transportes</t>
  </si>
  <si>
    <t>- [v. Saberes y comportamientos socioculturales 1.13.3.]</t>
  </si>
  <si>
    <t>- calle, carretera</t>
  </si>
  <si>
    <t>- aeropuerto, puerto, estación ~ de tren/de metro</t>
  </si>
  <si>
    <t>- parada ~ de autobús/de taxi/de metro</t>
  </si>
  <si>
    <t>- ir ~ andando/en coche/en taxi/en tren/en metro/en autobús/en avión/en barco</t>
  </si>
  <si>
    <t>###### 14.3.2. Tipos de transporte</t>
  </si>
  <si>
    <t>- Transporte por tierra</t>
  </si>
  <si>
    <t>- [v. Saberes y comportamientos socioculturales 1.13.4.]</t>
  </si>
  <si>
    <t>- coche, metro, tren, autobús, taxi</t>
  </si>
  <si>
    <t>- conductor, taxista</t>
  </si>
  <si>
    <t>- aparcamiento, garaje</t>
  </si>
  <si>
    <t>- estación ~ de tren/de metro/de autobuses</t>
  </si>
  <si>
    <t>- ir ~ en metro/en coche/en autobús</t>
  </si>
  <si>
    <t>- Transporte marítimo y fluvial</t>
  </si>
  <si>
    <t>- puerto</t>
  </si>
  <si>
    <t>- ir/viajar ~ en barco</t>
  </si>
  <si>
    <t>- Transporte aéreo</t>
  </si>
  <si>
    <t>- avión, aeropuerto</t>
  </si>
  <si>
    <t>- ir/viajar ~ en avión</t>
  </si>
  <si>
    <t>###### 14.3.3. La conducción</t>
  </si>
  <si>
    <t>- Normas de circulación</t>
  </si>
  <si>
    <t>- carné de conducir</t>
  </si>
  <si>
    <t>- policía</t>
  </si>
  <si>
    <t>## Noción 'finanzas y bolsa' para los niveles A1 y A2</t>
  </si>
  <si>
    <t>###### 15.1.1. Economía y dinero</t>
  </si>
  <si>
    <t>- [v. Nociones específicas 11.3., 12.4., Referentes culturales 1.5., Saberes y comportamientos socioculturales 1.6.]</t>
  </si>
  <si>
    <t>- dinero, tarjeta</t>
  </si>
  <si>
    <t>- caro, barato</t>
  </si>
  <si>
    <t>## Noción 'comercio' para los niveles A1 y A2</t>
  </si>
  <si>
    <t>###### 15.3.1. Transacciones comerciales y mercados</t>
  </si>
  <si>
    <t>- [v. Nociones específicas 12., Saberes y comportamientos socioculturales 1.6., 1.11.]</t>
  </si>
  <si>
    <t>- vendedor, comprador</t>
  </si>
  <si>
    <t>## Noción 'entidades y empresas' para los niveles A1 y A2</t>
  </si>
  <si>
    <t>###### 15.4.1. Tipos de empresa y organización</t>
  </si>
  <si>
    <t>- [v. Nociones específicas 7.1., Saberes y comportamientos socioculturales 1.6., Referentes culturales 1.5.]</t>
  </si>
  <si>
    <t>## Noción 'industria y energía' para los niveles A1 y A2</t>
  </si>
  <si>
    <t>###### 15.5.3. Pesca</t>
  </si>
  <si>
    <t>- pescado</t>
  </si>
  <si>
    <t>## Noción 'cuestiones generales de ciencia y tecnología' para los niveles A1 y A2</t>
  </si>
  <si>
    <t>## Noción 'matemáticas' para los niveles A1 y A2</t>
  </si>
  <si>
    <t>- número</t>
  </si>
  <si>
    <t>## Noción 'informática y nuevas tecnologías' para los niveles A1 y A2</t>
  </si>
  <si>
    <t>- ordenador</t>
  </si>
  <si>
    <t>## Noción 'sociedad' para los niveles A1 y A2</t>
  </si>
  <si>
    <t>## Noción 'política y gobierno' para los niveles A1 y A2</t>
  </si>
  <si>
    <t>##### 17.2. 1 Instituciones políticas y órganos de gobierno</t>
  </si>
  <si>
    <t>- [v. Nociones específicas 20.2.1., Referentes culturales 1.3.]</t>
  </si>
  <si>
    <t>- país, capital</t>
  </si>
  <si>
    <t>- presidente</t>
  </si>
  <si>
    <t>- rey, reina</t>
  </si>
  <si>
    <t>## Noción 'ley y justicia' para los niveles A1 y A2</t>
  </si>
  <si>
    <t>- abogado</t>
  </si>
  <si>
    <t>## Noción 'ejército' para los niveles A1 y A2</t>
  </si>
  <si>
    <t>## Noción 'disciplinas y cualidades artísticas' para los niveles A1 y A2</t>
  </si>
  <si>
    <t>- cine, teatro, música</t>
  </si>
  <si>
    <t>- película, concierto, foto</t>
  </si>
  <si>
    <t>- museo, exposición</t>
  </si>
  <si>
    <t>- ser ~ interesante/bonito/feo</t>
  </si>
  <si>
    <t>## Noción 'música y danza' para los niveles A1 y A2</t>
  </si>
  <si>
    <t>- música</t>
  </si>
  <si>
    <t>- cantante</t>
  </si>
  <si>
    <t>- escuchar música</t>
  </si>
  <si>
    <t>## Noción 'arquitectura, escultura y pintura' para los niveles A1 y A2</t>
  </si>
  <si>
    <t>- edificio, monumento</t>
  </si>
  <si>
    <t>- catedral, iglesia</t>
  </si>
  <si>
    <t>## Noción 'literatura' para los niveles A1 y A2</t>
  </si>
  <si>
    <t>- libro</t>
  </si>
  <si>
    <t>- escribir, leer</t>
  </si>
  <si>
    <t>## Noción 'fotografía' para los niveles A1 y A2</t>
  </si>
  <si>
    <t>- foto</t>
  </si>
  <si>
    <t>## Noción 'cine y teatro' para los niveles A1 y A2</t>
  </si>
  <si>
    <t>- cine, teatro</t>
  </si>
  <si>
    <t>- película, actor, actriz</t>
  </si>
  <si>
    <t>- ir ~ al cine/al teatro</t>
  </si>
  <si>
    <t>## Noción 'religión' para los niveles A1 y A2</t>
  </si>
  <si>
    <t>- religión</t>
  </si>
  <si>
    <t>- cristiano, judío, musulmán, budista</t>
  </si>
  <si>
    <t>- ir ~ a la iglesia/a la mezquita/a la sinagoga</t>
  </si>
  <si>
    <t>## Noción 'universo y espacio' para los niveles A1 y A2</t>
  </si>
  <si>
    <t>- sol</t>
  </si>
  <si>
    <t>## Noción 'geografía' para los niveles A1 y A2</t>
  </si>
  <si>
    <t>###### 20.2.1. Geografía física, humana y política</t>
  </si>
  <si>
    <t>- [v. Nociones generales 3.1., 3.4., Referentes culturales 1.4.]</t>
  </si>
  <si>
    <t>- mapa, lugar</t>
  </si>
  <si>
    <t>- país, pueblo, ciudad, capital</t>
  </si>
  <si>
    <t>- Norte, Sur, Este, Oeste</t>
  </si>
  <si>
    <t>###### 20.2.2. Paisaje y accidentes geográficos</t>
  </si>
  <si>
    <t>- [v. Referentes culturales 1.1.2]</t>
  </si>
  <si>
    <t>- montaña, mar, río, playa</t>
  </si>
  <si>
    <t>## Noción 'espacios urbanos o rústicos' para los niveles A1 y A2</t>
  </si>
  <si>
    <t>###### 20.3.1. Ciudad</t>
  </si>
  <si>
    <t>- [v. Saberes y comportamientos socioculturales 1.10., 1.13.4., Referentes culturales 1.9.2.]</t>
  </si>
  <si>
    <t>- (el) centro</t>
  </si>
  <si>
    <t>- casa, calle, plaza, parque, restaurante, tienda, centro comercial, hospital, iglesia, colegio, escuela, museo</t>
  </si>
  <si>
    <t>- parada ~ de autobús/de taxis/de metro, estación ~ de tren/de autobuses/de metro</t>
  </si>
  <si>
    <t>###### 20.3.2. Campo</t>
  </si>
  <si>
    <t>- campo, pueblo</t>
  </si>
  <si>
    <t>## Noción 'clima y tiempo atmosférico' para los niveles A1 y A2</t>
  </si>
  <si>
    <t>- primavera, verano, otoño, invierno</t>
  </si>
  <si>
    <t>- llover, nevar</t>
  </si>
  <si>
    <t>- hacer ~ frío/calor/sol/viento</t>
  </si>
  <si>
    <t>- hacer ~ buen/mal ~ tiempo</t>
  </si>
  <si>
    <t>## Noción 'fauna' para los niveles A1 y A2</t>
  </si>
  <si>
    <t>- animal</t>
  </si>
  <si>
    <t>## Noción 'flora' para los niveles A1 y A2</t>
  </si>
  <si>
    <t>- planta, flor, árbol</t>
  </si>
  <si>
    <t>## Nociones 'existencia, inexistencia' para los niveles A1 y A2</t>
  </si>
  <si>
    <t>- (no) haber, tener</t>
  </si>
  <si>
    <t>- En mi barrio hay dos farmacias.</t>
  </si>
  <si>
    <t>- En Toledo no hay aeropuerto.</t>
  </si>
  <si>
    <t>- El piso tiene tres habitaciones.</t>
  </si>
  <si>
    <t>- Vigo no tiene metro.</t>
  </si>
  <si>
    <t>## Nociones 'presencia, ausencia' para los niveles A1 y A2</t>
  </si>
  <si>
    <t>- haber</t>
  </si>
  <si>
    <t>- Hay mucha gente en la calle.</t>
  </si>
  <si>
    <t>- (no) estar</t>
  </si>
  <si>
    <t>- Luisa no está aquí.</t>
  </si>
  <si>
    <t>- sin, con</t>
  </si>
  <si>
    <t>- Sin azúcar, por favor.</t>
  </si>
  <si>
    <t>- Con leche, gracias.</t>
  </si>
  <si>
    <t>## Nociones 'disponibilidad, no disponibilidad' para los niveles A1 y A2</t>
  </si>
  <si>
    <t>## Noción 'cualidad general' para los niveles A1 y A2</t>
  </si>
  <si>
    <t>- ser</t>
  </si>
  <si>
    <t>- Esta cámara es nueva.</t>
  </si>
  <si>
    <t>- Mi coche es blanco.</t>
  </si>
  <si>
    <t>- El hotel es grande.</t>
  </si>
  <si>
    <t>## Noción 'acontecimiento' para los niveles A1 y A2</t>
  </si>
  <si>
    <t>- La clase es el lunes por la tarde.</t>
  </si>
  <si>
    <t>## Nociones 'certeza, incertidumbre' para los niveles A1 y A2</t>
  </si>
  <si>
    <t>- ser posible</t>
  </si>
  <si>
    <t>- quizá(s)</t>
  </si>
  <si>
    <t>## Nociones 'realidad, ficción' para los niveles A1 y A2</t>
  </si>
  <si>
    <t>## Nociones 'necesidad, contingencia, obligación' para los niveles A1 y A2</t>
  </si>
  <si>
    <t>## Noción 'cantidad numérica' para los niveles A1 y A2</t>
  </si>
  <si>
    <t>- [números cardinales]</t>
  </si>
  <si>
    <t>- Tengo 18 años.</t>
  </si>
  <si>
    <t>- Somos cinco.</t>
  </si>
  <si>
    <t>- Mi ciudad tiene 150.000 habitantes.</t>
  </si>
  <si>
    <t>- [números ordinales hasta 10.º]</t>
  </si>
  <si>
    <t>- Vivimos en el cuarto piso.</t>
  </si>
  <si>
    <t>## Noción 'cantidad relativa' para los niveles A1 y A2</t>
  </si>
  <si>
    <t>- gente</t>
  </si>
  <si>
    <t>- más, menos</t>
  </si>
  <si>
    <t>- Más pan, por favor.</t>
  </si>
  <si>
    <t>- más o menos</t>
  </si>
  <si>
    <t>- Tiene más o menos 25.000 habitantes.</t>
  </si>
  <si>
    <t>- muy, mucho</t>
  </si>
  <si>
    <t>- bastante, poco</t>
  </si>
  <si>
    <t>- Tengo bastante dinero en el bolso.</t>
  </si>
  <si>
    <t>## Noción 'grado' para los niveles A1 y A2</t>
  </si>
  <si>
    <t>- muy, más, menos</t>
  </si>
  <si>
    <t>- mucho, bastante, un poco</t>
  </si>
  <si>
    <t>- Me gusta mucho.</t>
  </si>
  <si>
    <t>- Soy un poco tímido.</t>
  </si>
  <si>
    <t>## Noción 'medidas' para los niveles A1 y A2</t>
  </si>
  <si>
    <t>###### 2.6.1. [-]</t>
  </si>
  <si>
    <t>###### 2.6.2. Talla</t>
  </si>
  <si>
    <t>- [v. Nociones específicas 12.2.]</t>
  </si>
  <si>
    <t>- grande, pequeño</t>
  </si>
  <si>
    <t>###### 2.6.3. Tamaño</t>
  </si>
  <si>
    <t>- largo, corto</t>
  </si>
  <si>
    <t>- alto, bajo</t>
  </si>
  <si>
    <t>###### 2.6.4. Distancia</t>
  </si>
  <si>
    <t>- metro(s), kilómetro(s)</t>
  </si>
  <si>
    <t>###### 2.6.5. Velocidad</t>
  </si>
  <si>
    <t>- rápido, lento</t>
  </si>
  <si>
    <t>- despacio</t>
  </si>
  <si>
    <t>- No entiendo, más despacio, por favor.</t>
  </si>
  <si>
    <t>###### 2.6.6. Peso</t>
  </si>
  <si>
    <t>- delgado, gordo</t>
  </si>
  <si>
    <t>###### 2.6.7. Superficie</t>
  </si>
  <si>
    <t>- un parque grande</t>
  </si>
  <si>
    <t>###### 2.6.8. [-]</t>
  </si>
  <si>
    <t>###### 2.6.9. Temperatura</t>
  </si>
  <si>
    <t>- caliente, frío</t>
  </si>
  <si>
    <t>- El café está frío.</t>
  </si>
  <si>
    <t>- hacer ~ frío/calor</t>
  </si>
  <si>
    <t>## Noción 'localización' para los niveles A1 y A2</t>
  </si>
  <si>
    <t>- lugar</t>
  </si>
  <si>
    <t>- estar</t>
  </si>
  <si>
    <t>- Tikal está en Guatemala.</t>
  </si>
  <si>
    <t>- aquí, allí</t>
  </si>
  <si>
    <t>- [Hispanoamérica] acá, allá</t>
  </si>
  <si>
    <t>## Noción 'posición absoluta' para los niveles A1 y A2</t>
  </si>
  <si>
    <t>## Noción 'posición relativa' para los niveles A1 y A2</t>
  </si>
  <si>
    <t>- cerca (de), lejos (de)</t>
  </si>
  <si>
    <t>- a la derecha (de), a la izquierda (de)</t>
  </si>
  <si>
    <t>- al lado (de)</t>
  </si>
  <si>
    <t>- al final (de)</t>
  </si>
  <si>
    <t>- al norte/al sur/al este/al oeste ~ (de)</t>
  </si>
  <si>
    <t>- en el centro (de)</t>
  </si>
  <si>
    <t>- en, entre</t>
  </si>
  <si>
    <t>- Las llaves están en la cartera.</t>
  </si>
  <si>
    <t>- Hay una calle pequeña entre el supermercado y la cafetería.</t>
  </si>
  <si>
    <t>## Noción 'distancia' para los niveles A1 y A2</t>
  </si>
  <si>
    <t>- cerca, lejos</t>
  </si>
  <si>
    <t>## Nociones 'movimiento, estabilidad' para los niveles A1 y A2</t>
  </si>
  <si>
    <t>- ir, volver</t>
  </si>
  <si>
    <t>- venir, llegar</t>
  </si>
  <si>
    <t>- salir, entrar</t>
  </si>
  <si>
    <t>- a pie, en coche, en metro, en autobús, en tren, en barco, en avión</t>
  </si>
  <si>
    <t>- Normalmente voy a pie al trabajo.</t>
  </si>
  <si>
    <t>- Prefiero viajar en tren.</t>
  </si>
  <si>
    <t>## Nociones 'orientación, dirección' para los niveles A1 y A2</t>
  </si>
  <si>
    <t>- calle</t>
  </si>
  <si>
    <t>- ¿Dónde está la calle Velázquez? La segunda calle a la derecha.</t>
  </si>
  <si>
    <t>- todo recto</t>
  </si>
  <si>
    <t>- a la derecha, a la izquierda</t>
  </si>
  <si>
    <t>- venir</t>
  </si>
  <si>
    <t>## Noción 'orden' para los niveles A1 y A2</t>
  </si>
  <si>
    <t>- la tercera calle</t>
  </si>
  <si>
    <t>- el sexto piso</t>
  </si>
  <si>
    <t>- antes, después</t>
  </si>
  <si>
    <t>## Noción 'origen' para los niveles A1 y A2</t>
  </si>
  <si>
    <t>- ser + [nacionalidad]</t>
  </si>
  <si>
    <t>- Luis Alberto es cubano.</t>
  </si>
  <si>
    <t>- ser de</t>
  </si>
  <si>
    <t>- Soy de Sevilla.</t>
  </si>
  <si>
    <t>- de</t>
  </si>
  <si>
    <t>## Referencias generales de nociones temporales para los niveles A1 y A2</t>
  </si>
  <si>
    <t>- [hora]</t>
  </si>
  <si>
    <t>- Son las dos.</t>
  </si>
  <si>
    <t>- Son las nueve y cuarto.</t>
  </si>
  <si>
    <t>- Son las diez menos veinte.</t>
  </si>
  <si>
    <t>- Son veinte para las diez.</t>
  </si>
  <si>
    <t>- [Hispanoamérica]</t>
  </si>
  <si>
    <t>- momento, minuto, hora, día, semana, mes, año</t>
  </si>
  <si>
    <t>- Un momento, por favor.</t>
  </si>
  <si>
    <t>- el + [día de la semana]</t>
  </si>
  <si>
    <t>- el fin de semana</t>
  </si>
  <si>
    <t>- cuándo</t>
  </si>
  <si>
    <t>- ¿Cuándo vuelves?</t>
  </si>
  <si>
    <t>- temprano, pronto, tarde</t>
  </si>
  <si>
    <t>- Los domingos me acuesto temprano.</t>
  </si>
  <si>
    <t>- en ~ [mes/estación]</t>
  </si>
  <si>
    <t>- por la ~ mañana/tarde/noche</t>
  </si>
  <si>
    <t>- En la mañana estudio y en la tarde trabajo.</t>
  </si>
  <si>
    <t>- [Hispanoamérica] en la ~ mañana/tarde/noche</t>
  </si>
  <si>
    <t>- a mediodía</t>
  </si>
  <si>
    <t>- a, de</t>
  </si>
  <si>
    <t>- Las tiendas abren a las diez.</t>
  </si>
  <si>
    <t>- Son las siete de la tarde.</t>
  </si>
  <si>
    <t>- Trabajo de nueve a dos.</t>
  </si>
  <si>
    <t>## Noción de 'localización en el tiempo' para los niveles A1 y A2</t>
  </si>
  <si>
    <t>###### 4.2.1. Presente</t>
  </si>
  <si>
    <t>- El viernes no tenemos clase.</t>
  </si>
  <si>
    <t>- hoy, ahora</t>
  </si>
  <si>
    <t>- Ahora vivo en Lisboa.</t>
  </si>
  <si>
    <t>- en agosto, en invierno</t>
  </si>
  <si>
    <t>- [presente de indicativo]</t>
  </si>
  <si>
    <t>- [v. Gramática 9.1.1.]</t>
  </si>
  <si>
    <t>###### 4.2.2. Pasado</t>
  </si>
  <si>
    <t>- el miércoles</t>
  </si>
  <si>
    <t>- ayer</t>
  </si>
  <si>
    <t>- en + [mes/estación]</t>
  </si>
  <si>
    <t>- en junio, en otoño</t>
  </si>
  <si>
    <t>###### 4.2.3. Futuro</t>
  </si>
  <si>
    <t>- El jueves voy al teatro.</t>
  </si>
  <si>
    <t>- mañana</t>
  </si>
  <si>
    <t>- en enero, en primavera</t>
  </si>
  <si>
    <t>## Aspectos de desarrollo de nociones temporales  para los niveles A1 y A2</t>
  </si>
  <si>
    <t>###### 4.3.1. [-]</t>
  </si>
  <si>
    <t>###### 4.3.2. Anterioridad</t>
  </si>
  <si>
    <t>- antes</t>
  </si>
  <si>
    <t>- Me ducho por la mañana pero antes desayuno.</t>
  </si>
  <si>
    <t>###### 4.3.3. Posterioridad</t>
  </si>
  <si>
    <t>- después</t>
  </si>
  <si>
    <t>- El sábado vamos al cine y después cenamos en un restaurante.</t>
  </si>
  <si>
    <t>###### 4.3.4. [-]</t>
  </si>
  <si>
    <t>###### 4.3.5. Anticipación</t>
  </si>
  <si>
    <t>- ser ~ temprano/pronto</t>
  </si>
  <si>
    <t>- Es temprano.</t>
  </si>
  <si>
    <t>- llegar/salir ~ pronto/temprano</t>
  </si>
  <si>
    <t>- Normalmente llego pronto a la oficina.</t>
  </si>
  <si>
    <t>- Los lunes salgo de casa temprano.</t>
  </si>
  <si>
    <t>###### 4.3.6. Retraso</t>
  </si>
  <si>
    <t>- ser tarde</t>
  </si>
  <si>
    <t>- Es tarde.</t>
  </si>
  <si>
    <t>- llegar/salir ~ tarde</t>
  </si>
  <si>
    <t>- A veces el tren llega tarde a la estación.</t>
  </si>
  <si>
    <t>###### 4.3.7. Inicio</t>
  </si>
  <si>
    <t>- empezar</t>
  </si>
  <si>
    <t>- La clase empieza a las diez.</t>
  </si>
  <si>
    <t>- Trabajo de nueve a cuatro.</t>
  </si>
  <si>
    <t>###### 4.3.8. Finalización</t>
  </si>
  <si>
    <t>- terminar</t>
  </si>
  <si>
    <t>- La clase termina a la una.</t>
  </si>
  <si>
    <t>- a</t>
  </si>
  <si>
    <t>###### 4.3.9. [-]</t>
  </si>
  <si>
    <t>###### 4.3.10. Repetición</t>
  </si>
  <si>
    <t>- No entiendo, ¿puedes repetir, por favor?</t>
  </si>
  <si>
    <t>###### 4.3.11. Duración, transcurso</t>
  </si>
  <si>
    <t>- mañana, tarde, noche</t>
  </si>
  <si>
    <t>- fin de semana</t>
  </si>
  <si>
    <t>- mucho/bastante/poco ~ tiempo</t>
  </si>
  <si>
    <t>###### 4.3.12. Frecuencia</t>
  </si>
  <si>
    <t>- todos los días</t>
  </si>
  <si>
    <t>- normalmente</t>
  </si>
  <si>
    <t>- siempre, nunca</t>
  </si>
  <si>
    <t>- Siempre desayuno cereales.</t>
  </si>
  <si>
    <t>- Nunca como pescado.</t>
  </si>
  <si>
    <t>- a veces</t>
  </si>
  <si>
    <t>- A veces se levanta tarde.</t>
  </si>
  <si>
    <t>- A veces voy de vacaciones en septiembre.</t>
  </si>
  <si>
    <t>###### 4.3.13. Cambio</t>
  </si>
  <si>
    <t>- cambiar</t>
  </si>
  <si>
    <t>- Quiero cambiar dinero.</t>
  </si>
  <si>
    <t>## Nociones cualitativas de formas y figuras para los niveles A1 y A2</t>
  </si>
  <si>
    <t>## Nociones 'Consistencia, resistencia' para los niveles A1 y A2</t>
  </si>
  <si>
    <t>## Nociones 'humedad, sequedad' para los niveles A1 y A2</t>
  </si>
  <si>
    <t>## Noción 'materia' para los niveles A1 y A2</t>
  </si>
  <si>
    <t>## Nociones 'visibilidad, visión' para los niveles A1 y A2</t>
  </si>
  <si>
    <t>- gafas</t>
  </si>
  <si>
    <t>- claro, oscuro</t>
  </si>
  <si>
    <t>- Tiene los ojos claros.</t>
  </si>
  <si>
    <t>- Tiene el pelo oscuro.</t>
  </si>
  <si>
    <t>- ver</t>
  </si>
  <si>
    <t>- No me gusta ver la televisión.</t>
  </si>
  <si>
    <t>## Nociones 'audibilidad, audición' para los niveles A1 y A2</t>
  </si>
  <si>
    <t>- Me gusta escuchar música.</t>
  </si>
  <si>
    <t>## Noción 'sabor' para los niveles A1 y A2</t>
  </si>
  <si>
    <t>## Noción 'color' para los niveles A1 y A2</t>
  </si>
  <si>
    <t>- rojo, amarillo, azul, verde, naranja, marrón, blanco, negro, gris</t>
  </si>
  <si>
    <t>- [v. Gramática 1.2.]</t>
  </si>
  <si>
    <t>## Nociones 'edad, vejez' para los niveles A1 y A2</t>
  </si>
  <si>
    <t>- niño, chico, señor</t>
  </si>
  <si>
    <t>- año, mes</t>
  </si>
  <si>
    <t>- nuevo, viejo</t>
  </si>
  <si>
    <t>- tener + [número cardinal] ~ meses/años</t>
  </si>
  <si>
    <t>## Noción 'accesibilidad' para los niveles A1 y A2</t>
  </si>
  <si>
    <t>- entrada, salida</t>
  </si>
  <si>
    <t>- abrir, cerrar</t>
  </si>
  <si>
    <t>- estar ~ abierto/cerrado</t>
  </si>
  <si>
    <t>## Noción 'limpieza' para los niveles A1 y A2</t>
  </si>
  <si>
    <t>## Nociones de evaluación general para los niveles A1 y A2</t>
  </si>
  <si>
    <t>- bueno, malo</t>
  </si>
  <si>
    <t>- (muy) ~ bien/mal</t>
  </si>
  <si>
    <t>- regular</t>
  </si>
  <si>
    <t>- ser ~ interesante/feo/difícil</t>
  </si>
  <si>
    <t>## Nociones 'valor, precio' para los niveles A1 y A2</t>
  </si>
  <si>
    <t>- costar, ser</t>
  </si>
  <si>
    <t>- ¿Cuánto es?</t>
  </si>
  <si>
    <t>- barato, caro</t>
  </si>
  <si>
    <t>- pagar</t>
  </si>
  <si>
    <t>## Noción 'atractivo' para los niveles A1 y A2</t>
  </si>
  <si>
    <t>- guapo, feo, bonito</t>
  </si>
  <si>
    <t>- [Hispanoamérica] lindo, hermoso</t>
  </si>
  <si>
    <t>## Noción 'calidad' para los niveles A1 y A2</t>
  </si>
  <si>
    <t>- ser ~ bueno/malo</t>
  </si>
  <si>
    <t>## Noción 'aceptabilidad' para los niveles A1 y A2</t>
  </si>
  <si>
    <t>- bien</t>
  </si>
  <si>
    <t>## Noción 'adecuación' para los niveles A1 y A2</t>
  </si>
  <si>
    <t>## Noción 'conformidad' para los niveles A1 y A2</t>
  </si>
  <si>
    <t>- (muy) bien</t>
  </si>
  <si>
    <t>- sí, no, de acuerdo</t>
  </si>
  <si>
    <t>- [Hispanoamérica] okay</t>
  </si>
  <si>
    <t>## Noción 'corrección' para los niveles A1 y A2</t>
  </si>
  <si>
    <t>## Noción 'interés' para los niveles A1 y A2</t>
  </si>
  <si>
    <t>- interesante</t>
  </si>
  <si>
    <t>## Nociones 'utilidad, uso' para los niveles A1 y A2</t>
  </si>
  <si>
    <t>## Nociones 'capacidad, competencia' para los niveles A1 y A2</t>
  </si>
  <si>
    <t>- saber</t>
  </si>
  <si>
    <t>- Sé español.</t>
  </si>
  <si>
    <t>- Sabemos nadar.</t>
  </si>
  <si>
    <t>## Noción 'importancia' para los niveles A1 y A2</t>
  </si>
  <si>
    <t>## Noción 'normalidad' para los niveles A1 y A2</t>
  </si>
  <si>
    <t>## Noción 'facilidad' para los niveles A1 y A2</t>
  </si>
  <si>
    <t>- fácil, difícil</t>
  </si>
  <si>
    <t>- saber, creer</t>
  </si>
  <si>
    <t>- hablar, escribir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</si>
</sst>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mm&quot; &quot;d"/>
  </numFmts>
  <fonts count="45">
    <font>
      <sz val="10.0"/>
      <color rgb="FF000000"/>
      <name val="Arial"/>
      <scheme val="minor"/>
    </font>
    <font>
      <b/>
      <u/>
      <color rgb="FF0000FF"/>
    </font>
    <font>
      <b/>
      <color theme="1"/>
      <name val="Arial"/>
      <scheme val="minor"/>
    </font>
    <font>
      <color theme="1"/>
      <name val="Arial"/>
      <scheme val="minor"/>
    </font>
    <font>
      <u/>
      <color rgb="FF0000FF"/>
    </font>
    <font>
      <b/>
      <sz val="13.0"/>
      <color rgb="FFFFFFFF"/>
      <name val="Arial"/>
      <scheme val="minor"/>
    </font>
    <font>
      <b/>
      <sz val="12.0"/>
      <color rgb="FFFFFFFF"/>
      <name val="Arial"/>
      <scheme val="minor"/>
    </font>
    <font>
      <b/>
      <color rgb="FFFFFFFF"/>
      <name val="Arial"/>
      <scheme val="minor"/>
    </font>
    <font>
      <color rgb="FF000000"/>
      <name val="Arial"/>
      <scheme val="minor"/>
    </font>
    <font>
      <b/>
      <sz val="12.0"/>
      <color rgb="FF000000"/>
      <name val="Arial"/>
      <scheme val="minor"/>
    </font>
    <font>
      <b/>
      <sz val="12.0"/>
      <color rgb="FF434343"/>
      <name val="Arial"/>
      <scheme val="minor"/>
    </font>
    <font>
      <b/>
      <sz val="10.0"/>
      <color rgb="FF000000"/>
      <name val="Arial"/>
      <scheme val="minor"/>
    </font>
    <font>
      <sz val="12.0"/>
      <color rgb="FF000000"/>
      <name val="Arial"/>
      <scheme val="minor"/>
    </font>
    <font>
      <sz val="12.0"/>
      <color rgb="FF434343"/>
      <name val="Arial"/>
      <scheme val="minor"/>
    </font>
    <font>
      <u/>
      <sz val="10.0"/>
      <color rgb="FF000000"/>
      <name val="Roboto"/>
    </font>
    <font>
      <sz val="12.0"/>
      <color rgb="FF000000"/>
      <name val="Arial"/>
    </font>
    <font>
      <u/>
      <sz val="10.0"/>
      <color rgb="FF000000"/>
      <name val="Roboto"/>
    </font>
    <font>
      <u/>
      <sz val="10.0"/>
      <color rgb="FF000000"/>
      <name val="Roboto"/>
    </font>
    <font>
      <color rgb="FF000000"/>
      <name val="Arial"/>
    </font>
    <font>
      <b/>
      <sz val="12.0"/>
      <color rgb="FF000000"/>
      <name val="Arial"/>
    </font>
    <font>
      <sz val="12.0"/>
      <color rgb="FF434343"/>
      <name val="Arial"/>
    </font>
    <font>
      <sz val="10.0"/>
      <color rgb="FF000000"/>
      <name val="Arial"/>
    </font>
    <font>
      <color theme="1"/>
      <name val="Arial"/>
    </font>
    <font>
      <sz val="12.0"/>
      <color theme="1"/>
      <name val="Arial"/>
      <scheme val="minor"/>
    </font>
    <font>
      <sz val="10.0"/>
      <color theme="1"/>
      <name val="Arial"/>
      <scheme val="minor"/>
    </font>
    <font>
      <b/>
      <sz val="18.0"/>
      <color theme="1"/>
      <name val="Arial"/>
      <scheme val="minor"/>
    </font>
    <font>
      <b/>
      <sz val="14.0"/>
      <color theme="1"/>
      <name val="Arial"/>
    </font>
    <font/>
    <font>
      <sz val="12.0"/>
      <color theme="1"/>
      <name val="Arial"/>
    </font>
    <font>
      <b/>
      <sz val="13.0"/>
      <color theme="1"/>
      <name val="Arial"/>
    </font>
    <font>
      <b/>
      <sz val="12.0"/>
      <color theme="1"/>
      <name val="Arial"/>
    </font>
    <font>
      <b/>
      <u/>
      <sz val="12.0"/>
      <color rgb="FF1155CC"/>
      <name val="Arial"/>
    </font>
    <font>
      <b/>
      <u/>
      <sz val="12.0"/>
      <color rgb="FF1155CC"/>
      <name val="Arial"/>
    </font>
    <font>
      <b/>
      <u/>
      <sz val="12.0"/>
      <color rgb="FF1155CC"/>
      <name val="Arial"/>
    </font>
    <font>
      <b/>
      <u/>
      <sz val="12.0"/>
      <color rgb="FF0000FF"/>
      <name val="Arial"/>
    </font>
    <font>
      <sz val="11.0"/>
      <color theme="1"/>
      <name val="Arial"/>
    </font>
    <font>
      <b/>
      <sz val="12.0"/>
      <color theme="1"/>
      <name val="Arial"/>
      <scheme val="minor"/>
    </font>
    <font>
      <b/>
      <sz val="14.0"/>
      <color theme="1"/>
      <name val="Arial"/>
      <scheme val="minor"/>
    </font>
    <font>
      <b/>
      <sz val="13.0"/>
      <color theme="1"/>
      <name val="Arial"/>
      <scheme val="minor"/>
    </font>
    <font>
      <b/>
      <u/>
      <sz val="12.0"/>
      <color rgb="FF0000FF"/>
    </font>
    <font>
      <b/>
      <u/>
      <sz val="12.0"/>
      <color rgb="FF0000FF"/>
    </font>
    <font>
      <sz val="12.0"/>
      <color rgb="FF0000FF"/>
      <name val="Arial"/>
    </font>
    <font>
      <u/>
      <sz val="12.0"/>
      <color rgb="FF0000FF"/>
      <name val="Arial"/>
    </font>
    <font>
      <b/>
      <u/>
      <sz val="12.0"/>
      <color rgb="FF0000FF"/>
    </font>
    <font>
      <b/>
      <u/>
      <sz val="12.0"/>
      <color rgb="FF0000FF"/>
    </font>
  </fonts>
  <fills count="9">
    <fill>
      <patternFill patternType="none"/>
    </fill>
    <fill>
      <patternFill patternType="lightGray"/>
    </fill>
    <fill>
      <patternFill patternType="solid">
        <fgColor rgb="FF3C78D8"/>
        <bgColor rgb="FF3C78D8"/>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164"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2" fontId="7" numFmtId="0" xfId="0" applyAlignment="1" applyFill="1" applyFont="1">
      <alignment horizontal="center"/>
    </xf>
    <xf borderId="0" fillId="3" fontId="8" numFmtId="0" xfId="0" applyAlignment="1" applyFill="1" applyFont="1">
      <alignment readingOrder="0" shrinkToFit="0" vertical="center" wrapText="0"/>
    </xf>
    <xf borderId="0" fillId="3" fontId="9" numFmtId="0" xfId="0" applyAlignment="1" applyFont="1">
      <alignment readingOrder="0" shrinkToFit="0" vertical="center" wrapText="0"/>
    </xf>
    <xf borderId="0" fillId="3" fontId="9" numFmtId="0" xfId="0" applyAlignment="1" applyFont="1">
      <alignment readingOrder="0" shrinkToFit="0" vertical="center" wrapText="0"/>
    </xf>
    <xf borderId="0" fillId="3" fontId="10" numFmtId="0" xfId="0" applyAlignment="1" applyFont="1">
      <alignment horizontal="center" readingOrder="0" shrinkToFit="0" vertical="center" wrapText="0"/>
    </xf>
    <xf borderId="0" fillId="3" fontId="11" numFmtId="0" xfId="0" applyAlignment="1" applyFont="1">
      <alignment readingOrder="0" shrinkToFit="0" vertical="center" wrapText="1"/>
    </xf>
    <xf borderId="0" fillId="4" fontId="12" numFmtId="165" xfId="0" applyAlignment="1" applyFill="1" applyFont="1" applyNumberFormat="1">
      <alignment readingOrder="0" shrinkToFit="0" vertical="center" wrapText="0"/>
    </xf>
    <xf borderId="0" fillId="4" fontId="9" numFmtId="0" xfId="0" applyAlignment="1" applyFont="1">
      <alignment readingOrder="0" shrinkToFit="0" vertical="center" wrapText="0"/>
    </xf>
    <xf borderId="0" fillId="4" fontId="9" numFmtId="0" xfId="0" applyAlignment="1" applyFont="1">
      <alignment readingOrder="0" shrinkToFit="0" vertical="center" wrapText="0"/>
    </xf>
    <xf borderId="0" fillId="4" fontId="13" numFmtId="0" xfId="0" applyAlignment="1" applyFont="1">
      <alignment horizontal="center" readingOrder="0" shrinkToFit="0" vertical="center" wrapText="0"/>
    </xf>
    <xf borderId="0" fillId="4" fontId="14" numFmtId="0" xfId="0" applyAlignment="1" applyFont="1">
      <alignment readingOrder="0" shrinkToFit="0" vertical="center" wrapText="1"/>
    </xf>
    <xf borderId="0" fillId="0" fontId="12" numFmtId="165" xfId="0" applyAlignment="1" applyFont="1" applyNumberFormat="1">
      <alignment readingOrder="0" shrinkToFit="0" vertical="center" wrapText="0"/>
    </xf>
    <xf borderId="0" fillId="0" fontId="12" numFmtId="0" xfId="0" applyAlignment="1" applyFont="1">
      <alignment readingOrder="0" shrinkToFit="0" vertical="center" wrapText="0"/>
    </xf>
    <xf borderId="0" fillId="0" fontId="15" numFmtId="0" xfId="0" applyAlignment="1" applyFont="1">
      <alignment readingOrder="0" shrinkToFit="0" vertical="bottom" wrapText="0"/>
    </xf>
    <xf borderId="0" fillId="0" fontId="12" numFmtId="0" xfId="0" applyAlignment="1" applyFont="1">
      <alignment readingOrder="0" shrinkToFit="0" vertical="center" wrapText="0"/>
    </xf>
    <xf borderId="0" fillId="0" fontId="15" numFmtId="0" xfId="0" applyAlignment="1" applyFont="1">
      <alignment readingOrder="0" shrinkToFit="0" vertical="bottom" wrapText="0"/>
    </xf>
    <xf borderId="0" fillId="0" fontId="13" numFmtId="0" xfId="0" applyAlignment="1" applyFont="1">
      <alignment horizontal="center" readingOrder="0" shrinkToFit="0" vertical="center" wrapText="0"/>
    </xf>
    <xf borderId="0" fillId="0" fontId="0" numFmtId="0" xfId="0" applyAlignment="1" applyFont="1">
      <alignment readingOrder="0" shrinkToFit="0" vertical="center" wrapText="1"/>
    </xf>
    <xf borderId="0" fillId="0" fontId="8" numFmtId="0" xfId="0" applyAlignment="1" applyFont="1">
      <alignment shrinkToFit="0" vertical="center" wrapText="0"/>
    </xf>
    <xf borderId="0" fillId="0" fontId="0" numFmtId="0" xfId="0" applyAlignment="1" applyFont="1">
      <alignment shrinkToFit="0" vertical="center" wrapText="1"/>
    </xf>
    <xf borderId="0" fillId="0" fontId="8" numFmtId="0" xfId="0" applyAlignment="1" applyFont="1">
      <alignment readingOrder="0" shrinkToFit="0" vertical="center" wrapText="0"/>
    </xf>
    <xf borderId="0" fillId="0" fontId="0" numFmtId="0" xfId="0" applyAlignment="1" applyFont="1">
      <alignment readingOrder="0" shrinkToFit="0" vertical="center" wrapText="1"/>
    </xf>
    <xf borderId="0" fillId="0" fontId="8" numFmtId="164" xfId="0" applyAlignment="1" applyFont="1" applyNumberFormat="1">
      <alignment shrinkToFit="0" vertical="center" wrapText="0"/>
    </xf>
    <xf borderId="0" fillId="0" fontId="16" numFmtId="0" xfId="0" applyAlignment="1" applyFont="1">
      <alignment readingOrder="0" shrinkToFit="0" vertical="center" wrapText="1"/>
    </xf>
    <xf borderId="0" fillId="0" fontId="15" numFmtId="0" xfId="0" applyAlignment="1" applyFont="1">
      <alignment shrinkToFit="0" vertical="bottom" wrapText="0"/>
    </xf>
    <xf borderId="0" fillId="0" fontId="17" numFmtId="0" xfId="0" applyAlignment="1" applyFont="1">
      <alignment readingOrder="0" shrinkToFit="0" vertical="center" wrapText="1"/>
    </xf>
    <xf borderId="0" fillId="4" fontId="8" numFmtId="164" xfId="0" applyAlignment="1" applyFont="1" applyNumberFormat="1">
      <alignment shrinkToFit="0" vertical="center" wrapText="0"/>
    </xf>
    <xf borderId="0" fillId="4" fontId="13" numFmtId="0" xfId="0" applyAlignment="1" applyFont="1">
      <alignment horizontal="center" readingOrder="0" shrinkToFit="0" vertical="center" wrapText="0"/>
    </xf>
    <xf borderId="0" fillId="4" fontId="0" numFmtId="0" xfId="0" applyAlignment="1" applyFont="1">
      <alignment readingOrder="0" shrinkToFit="0" vertical="center" wrapText="1"/>
    </xf>
    <xf borderId="0" fillId="3" fontId="8" numFmtId="164" xfId="0" applyAlignment="1" applyFont="1" applyNumberFormat="1">
      <alignment shrinkToFit="0" vertical="center" wrapText="0"/>
    </xf>
    <xf borderId="0" fillId="4" fontId="18" numFmtId="165" xfId="0" applyAlignment="1" applyFont="1" applyNumberFormat="1">
      <alignment shrinkToFit="0" vertical="bottom" wrapText="0"/>
    </xf>
    <xf borderId="0" fillId="4" fontId="15" numFmtId="0" xfId="0" applyAlignment="1" applyFont="1">
      <alignment readingOrder="0" shrinkToFit="0" vertical="bottom" wrapText="0"/>
    </xf>
    <xf borderId="0" fillId="4" fontId="19" numFmtId="0" xfId="0" applyAlignment="1" applyFont="1">
      <alignment shrinkToFit="0" vertical="bottom" wrapText="0"/>
    </xf>
    <xf borderId="0" fillId="4" fontId="19" numFmtId="0" xfId="0" applyAlignment="1" applyFont="1">
      <alignment shrinkToFit="0" vertical="bottom" wrapText="0"/>
    </xf>
    <xf borderId="0" fillId="4" fontId="20" numFmtId="0" xfId="0" applyAlignment="1" applyFont="1">
      <alignment horizontal="center" readingOrder="0" shrinkToFit="0" vertical="bottom" wrapText="0"/>
    </xf>
    <xf borderId="0" fillId="4" fontId="21" numFmtId="0" xfId="0" applyAlignment="1" applyFont="1">
      <alignment shrinkToFit="0" vertical="bottom" wrapText="1"/>
    </xf>
    <xf borderId="0" fillId="0" fontId="22" numFmtId="0" xfId="0" applyAlignment="1" applyFont="1">
      <alignment vertical="bottom"/>
    </xf>
    <xf borderId="0" fillId="0" fontId="18" numFmtId="164" xfId="0" applyAlignment="1" applyFont="1" applyNumberFormat="1">
      <alignment shrinkToFit="0" vertical="bottom" wrapText="0"/>
    </xf>
    <xf borderId="0" fillId="0" fontId="15" numFmtId="0" xfId="0" applyAlignment="1" applyFont="1">
      <alignment shrinkToFit="0" vertical="bottom" wrapText="0"/>
    </xf>
    <xf borderId="0" fillId="0" fontId="21" numFmtId="0" xfId="0" applyAlignment="1" applyFont="1">
      <alignment shrinkToFit="0" vertical="bottom" wrapText="1"/>
    </xf>
    <xf borderId="0" fillId="0" fontId="12" numFmtId="0" xfId="0" applyAlignment="1" applyFont="1">
      <alignment shrinkToFit="0" vertical="center" wrapText="0"/>
    </xf>
    <xf borderId="0" fillId="0" fontId="12" numFmtId="0" xfId="0" applyAlignment="1" applyFont="1">
      <alignment shrinkToFit="0" vertical="center" wrapText="0"/>
    </xf>
    <xf borderId="0" fillId="0" fontId="13" numFmtId="0" xfId="0" applyAlignment="1" applyFont="1">
      <alignment horizontal="center" readingOrder="0" shrinkToFit="0" vertical="center" wrapText="0"/>
    </xf>
    <xf borderId="0" fillId="0" fontId="3" numFmtId="164" xfId="0" applyFont="1" applyNumberFormat="1"/>
    <xf borderId="0" fillId="0" fontId="23" numFmtId="0" xfId="0" applyFont="1"/>
    <xf borderId="0" fillId="0" fontId="13" numFmtId="0" xfId="0" applyAlignment="1" applyFont="1">
      <alignment shrinkToFit="0" wrapText="0"/>
    </xf>
    <xf borderId="0" fillId="0" fontId="24" numFmtId="0" xfId="0" applyAlignment="1" applyFont="1">
      <alignment shrinkToFit="0" wrapText="1"/>
    </xf>
    <xf borderId="0" fillId="0" fontId="25" numFmtId="0" xfId="0" applyAlignment="1" applyFont="1">
      <alignment readingOrder="0" shrinkToFit="0" vertical="center" wrapText="1"/>
    </xf>
    <xf borderId="0" fillId="0" fontId="23" numFmtId="0" xfId="0" applyAlignment="1" applyFont="1">
      <alignment shrinkToFit="0" vertical="center" wrapText="1"/>
    </xf>
    <xf borderId="1" fillId="5" fontId="26" numFmtId="0" xfId="0" applyAlignment="1" applyBorder="1" applyFill="1" applyFont="1">
      <alignment horizontal="center" readingOrder="0" shrinkToFit="0" wrapText="1"/>
    </xf>
    <xf borderId="2" fillId="0" fontId="27" numFmtId="0" xfId="0" applyBorder="1" applyFont="1"/>
    <xf borderId="3" fillId="0" fontId="27" numFmtId="0" xfId="0" applyBorder="1" applyFont="1"/>
    <xf borderId="0" fillId="0" fontId="26" numFmtId="0" xfId="0" applyAlignment="1" applyFont="1">
      <alignment horizontal="center" shrinkToFit="0" wrapText="1"/>
    </xf>
    <xf borderId="1" fillId="0" fontId="23" numFmtId="0" xfId="0" applyAlignment="1" applyBorder="1" applyFont="1">
      <alignment horizontal="center" readingOrder="0" shrinkToFit="0" vertical="center" wrapText="1"/>
    </xf>
    <xf borderId="0" fillId="0" fontId="28" numFmtId="0" xfId="0" applyAlignment="1" applyFont="1">
      <alignment horizontal="center" shrinkToFit="0" wrapText="1"/>
    </xf>
    <xf borderId="0" fillId="0" fontId="23" numFmtId="0" xfId="0" applyAlignment="1" applyFont="1">
      <alignment horizontal="left" readingOrder="0" shrinkToFit="0" vertical="center" wrapText="1"/>
    </xf>
    <xf borderId="1" fillId="4" fontId="29" numFmtId="0" xfId="0" applyAlignment="1" applyBorder="1" applyFont="1">
      <alignment readingOrder="0" shrinkToFit="0" wrapText="1"/>
    </xf>
    <xf borderId="2" fillId="4" fontId="29" numFmtId="0" xfId="0" applyAlignment="1" applyBorder="1" applyFont="1">
      <alignment readingOrder="0" shrinkToFit="0" wrapText="1"/>
    </xf>
    <xf borderId="3" fillId="4" fontId="29" numFmtId="0" xfId="0" applyAlignment="1" applyBorder="1" applyFont="1">
      <alignment readingOrder="0" shrinkToFit="0" wrapText="1"/>
    </xf>
    <xf borderId="0" fillId="0" fontId="22" numFmtId="0" xfId="0" applyFont="1"/>
    <xf borderId="0" fillId="0" fontId="22" numFmtId="0" xfId="0" applyFont="1"/>
    <xf borderId="1" fillId="0" fontId="23" numFmtId="0" xfId="0" applyAlignment="1" applyBorder="1" applyFont="1">
      <alignment horizontal="left" readingOrder="0" shrinkToFit="0" vertical="center" wrapText="1"/>
    </xf>
    <xf borderId="1" fillId="6" fontId="30" numFmtId="0" xfId="0" applyAlignment="1" applyBorder="1" applyFill="1" applyFont="1">
      <alignment readingOrder="0" shrinkToFit="0" wrapText="1"/>
    </xf>
    <xf borderId="1" fillId="6" fontId="31" numFmtId="0" xfId="0" applyAlignment="1" applyBorder="1" applyFont="1">
      <alignment shrinkToFit="0" wrapText="1"/>
    </xf>
    <xf borderId="4" fillId="6" fontId="30" numFmtId="0" xfId="0" applyAlignment="1" applyBorder="1" applyFont="1">
      <alignment shrinkToFit="0" wrapText="1"/>
    </xf>
    <xf borderId="4" fillId="6" fontId="32" numFmtId="0" xfId="0" applyAlignment="1" applyBorder="1" applyFont="1">
      <alignment shrinkToFit="0" wrapText="1"/>
    </xf>
    <xf borderId="4" fillId="6" fontId="33" numFmtId="0" xfId="0" applyAlignment="1" applyBorder="1" applyFont="1">
      <alignment shrinkToFit="0" wrapText="1"/>
    </xf>
    <xf borderId="1" fillId="0" fontId="28" numFmtId="0" xfId="0" applyAlignment="1" applyBorder="1" applyFont="1">
      <alignment readingOrder="0" shrinkToFit="0" vertical="top" wrapText="1"/>
    </xf>
    <xf borderId="4" fillId="0" fontId="28" numFmtId="0" xfId="0" applyAlignment="1" applyBorder="1" applyFont="1">
      <alignment horizontal="center" readingOrder="0" shrinkToFit="0" vertical="center" wrapText="1"/>
    </xf>
    <xf borderId="4" fillId="0" fontId="28" numFmtId="0" xfId="0" applyAlignment="1" applyBorder="1" applyFont="1">
      <alignment readingOrder="0" shrinkToFit="0" vertical="top" wrapText="1"/>
    </xf>
    <xf borderId="4" fillId="6" fontId="34" numFmtId="0" xfId="0" applyAlignment="1" applyBorder="1" applyFont="1">
      <alignment shrinkToFit="0" wrapText="1"/>
    </xf>
    <xf borderId="1" fillId="0" fontId="28" numFmtId="0" xfId="0" applyAlignment="1" applyBorder="1" applyFont="1">
      <alignment horizontal="center" readingOrder="0" shrinkToFit="0" vertical="top" wrapText="1"/>
    </xf>
    <xf borderId="4" fillId="4" fontId="29" numFmtId="0" xfId="0" applyAlignment="1" applyBorder="1" applyFont="1">
      <alignment shrinkToFit="0" wrapText="1"/>
    </xf>
    <xf borderId="4" fillId="0" fontId="35" numFmtId="0" xfId="0" applyAlignment="1" applyBorder="1" applyFont="1">
      <alignment vertical="top"/>
    </xf>
    <xf borderId="4" fillId="0" fontId="23" numFmtId="0" xfId="0" applyAlignment="1" applyBorder="1" applyFont="1">
      <alignment readingOrder="0"/>
    </xf>
    <xf borderId="0" fillId="0" fontId="36" numFmtId="0" xfId="0" applyAlignment="1" applyFont="1">
      <alignment readingOrder="0" shrinkToFit="0" wrapText="1"/>
    </xf>
    <xf borderId="4" fillId="0" fontId="28" numFmtId="0" xfId="0" applyAlignment="1" applyBorder="1" applyFont="1">
      <alignment readingOrder="0" shrinkToFit="0" wrapText="1"/>
    </xf>
    <xf borderId="4" fillId="0" fontId="23" numFmtId="0" xfId="0" applyAlignment="1" applyBorder="1" applyFont="1">
      <alignment readingOrder="0" shrinkToFit="0" vertical="center" wrapText="1"/>
    </xf>
    <xf borderId="1" fillId="0" fontId="28" numFmtId="0" xfId="0" applyAlignment="1" applyBorder="1" applyFont="1">
      <alignment readingOrder="0" shrinkToFit="0" vertical="center" wrapText="1"/>
    </xf>
    <xf borderId="1" fillId="0" fontId="28" numFmtId="0" xfId="0" applyAlignment="1" applyBorder="1" applyFont="1">
      <alignment readingOrder="0" shrinkToFit="0" wrapText="1"/>
    </xf>
    <xf borderId="0" fillId="0" fontId="23" numFmtId="0" xfId="0" applyAlignment="1" applyFont="1">
      <alignment horizontal="center" readingOrder="0" shrinkToFit="0" vertical="center" wrapText="1"/>
    </xf>
    <xf borderId="1" fillId="4" fontId="37"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4" fillId="0" fontId="28" numFmtId="0" xfId="0" applyAlignment="1" applyBorder="1" applyFont="1">
      <alignment horizontal="center" readingOrder="0" shrinkToFit="0" vertical="top" wrapText="1"/>
    </xf>
    <xf borderId="4" fillId="4" fontId="38" numFmtId="0" xfId="0" applyAlignment="1" applyBorder="1" applyFont="1">
      <alignment readingOrder="0" shrinkToFit="0" vertical="center" wrapText="1"/>
    </xf>
    <xf borderId="4" fillId="0" fontId="35" numFmtId="0" xfId="0" applyAlignment="1" applyBorder="1" applyFont="1">
      <alignment vertical="top"/>
    </xf>
    <xf borderId="4" fillId="0" fontId="23" numFmtId="0" xfId="0" applyAlignment="1" applyBorder="1" applyFont="1">
      <alignment readingOrder="0" shrinkToFit="0" vertical="top" wrapText="1"/>
    </xf>
    <xf borderId="4" fillId="0" fontId="35" numFmtId="0" xfId="0" applyAlignment="1" applyBorder="1" applyFont="1">
      <alignment readingOrder="0" vertical="top"/>
    </xf>
    <xf borderId="1" fillId="0" fontId="28" numFmtId="0" xfId="0" applyAlignment="1" applyBorder="1" applyFont="1">
      <alignment shrinkToFit="0" wrapText="1"/>
    </xf>
    <xf borderId="4" fillId="0" fontId="28" numFmtId="0" xfId="0" applyAlignment="1" applyBorder="1" applyFont="1">
      <alignment readingOrder="0" shrinkToFit="0" vertical="center" wrapText="1"/>
    </xf>
    <xf borderId="1" fillId="0" fontId="28" numFmtId="0" xfId="0" applyAlignment="1" applyBorder="1" applyFont="1">
      <alignment horizontal="left" readingOrder="0" shrinkToFit="0" wrapText="1"/>
    </xf>
    <xf borderId="4" fillId="0" fontId="28" numFmtId="0" xfId="0" applyAlignment="1" applyBorder="1" applyFont="1">
      <alignment readingOrder="0" vertical="top"/>
    </xf>
    <xf borderId="4" fillId="0" fontId="28" numFmtId="0" xfId="0" applyAlignment="1" applyBorder="1" applyFont="1">
      <alignment shrinkToFit="0" vertical="center" wrapText="1"/>
    </xf>
    <xf borderId="4" fillId="0" fontId="28" numFmtId="0" xfId="0" applyAlignment="1" applyBorder="1" applyFont="1">
      <alignment readingOrder="0"/>
    </xf>
    <xf borderId="1" fillId="6" fontId="36" numFmtId="0" xfId="0" applyAlignment="1" applyBorder="1" applyFont="1">
      <alignment readingOrder="0" shrinkToFit="0" vertical="center" wrapText="1"/>
    </xf>
    <xf borderId="1" fillId="6" fontId="39" numFmtId="0" xfId="0" applyAlignment="1" applyBorder="1" applyFont="1">
      <alignment readingOrder="0" shrinkToFit="0" vertical="center" wrapText="1"/>
    </xf>
    <xf borderId="4" fillId="6" fontId="36" numFmtId="0" xfId="0" applyAlignment="1" applyBorder="1" applyFont="1">
      <alignment readingOrder="0" shrinkToFit="0" vertical="center" wrapText="1"/>
    </xf>
    <xf borderId="4" fillId="6" fontId="40" numFmtId="0" xfId="0" applyAlignment="1" applyBorder="1" applyFont="1">
      <alignment readingOrder="0" shrinkToFit="0" vertical="center" wrapText="1"/>
    </xf>
    <xf borderId="4" fillId="0" fontId="23" numFmtId="0" xfId="0" applyAlignment="1" applyBorder="1" applyFont="1">
      <alignment horizontal="center" readingOrder="0" shrinkToFit="0" vertical="center" wrapText="1"/>
    </xf>
    <xf borderId="4" fillId="0" fontId="23" numFmtId="0" xfId="0" applyAlignment="1" applyBorder="1" applyFont="1">
      <alignment horizontal="left" readingOrder="0" shrinkToFit="0" vertical="center" wrapText="1"/>
    </xf>
    <xf borderId="1" fillId="4" fontId="38" numFmtId="0" xfId="0" applyAlignment="1" applyBorder="1" applyFont="1">
      <alignment readingOrder="0" shrinkToFit="0" vertical="center" wrapText="1"/>
    </xf>
    <xf borderId="1" fillId="0" fontId="23" numFmtId="0" xfId="0" applyAlignment="1" applyBorder="1" applyFont="1">
      <alignment shrinkToFit="0" vertical="center" wrapText="1"/>
    </xf>
    <xf borderId="4" fillId="0" fontId="23" numFmtId="0" xfId="0" applyAlignment="1" applyBorder="1" applyFont="1">
      <alignment shrinkToFit="0" vertical="center" wrapText="1"/>
    </xf>
    <xf borderId="4" fillId="7" fontId="23" numFmtId="0" xfId="0" applyAlignment="1" applyBorder="1" applyFill="1" applyFont="1">
      <alignment readingOrder="0" shrinkToFit="0" vertical="center" wrapText="1"/>
    </xf>
    <xf borderId="4" fillId="0" fontId="36" numFmtId="0" xfId="0" applyAlignment="1" applyBorder="1" applyFont="1">
      <alignment readingOrder="0" shrinkToFit="0" vertical="center" wrapText="1"/>
    </xf>
    <xf borderId="4" fillId="0" fontId="28" numFmtId="0" xfId="0" applyAlignment="1" applyBorder="1" applyFont="1">
      <alignment readingOrder="0" shrinkToFit="0" wrapText="1"/>
    </xf>
    <xf borderId="4" fillId="0" fontId="28" numFmtId="0" xfId="0" applyAlignment="1" applyBorder="1" applyFont="1">
      <alignment readingOrder="0" shrinkToFit="0" wrapText="1"/>
    </xf>
    <xf borderId="4" fillId="0" fontId="41" numFmtId="0" xfId="0" applyAlignment="1" applyBorder="1" applyFont="1">
      <alignment readingOrder="0" shrinkToFit="0" wrapText="1"/>
    </xf>
    <xf borderId="4" fillId="7" fontId="42" numFmtId="0" xfId="0" applyAlignment="1" applyBorder="1" applyFont="1">
      <alignment readingOrder="0" shrinkToFit="0" wrapText="1"/>
    </xf>
    <xf borderId="0" fillId="0" fontId="23" numFmtId="0" xfId="0" applyAlignment="1" applyFont="1">
      <alignment shrinkToFit="0" vertical="center" wrapText="1"/>
    </xf>
    <xf borderId="0" fillId="0" fontId="24" numFmtId="0" xfId="0" applyAlignment="1" applyFont="1">
      <alignment readingOrder="0" shrinkToFit="0" wrapText="1"/>
    </xf>
    <xf borderId="0" fillId="0" fontId="24" numFmtId="0" xfId="0" applyAlignment="1" applyFont="1">
      <alignment readingOrder="0"/>
    </xf>
    <xf borderId="0" fillId="0" fontId="3" numFmtId="0" xfId="0" applyAlignment="1" applyFont="1">
      <alignment readingOrder="0"/>
    </xf>
    <xf borderId="0" fillId="0" fontId="24" numFmtId="0" xfId="0" applyAlignment="1" applyFont="1">
      <alignment horizontal="left" readingOrder="0" shrinkToFit="0" vertical="center" wrapText="1"/>
    </xf>
    <xf borderId="0" fillId="0" fontId="24"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4"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24" numFmtId="0" xfId="0" applyAlignment="1" applyFont="1">
      <alignment readingOrder="0" shrinkToFit="0" vertical="center" wrapText="0"/>
    </xf>
    <xf borderId="0" fillId="0" fontId="24" numFmtId="0" xfId="0" applyAlignment="1" applyFont="1">
      <alignment horizontal="left" readingOrder="0" shrinkToFit="0" vertical="center" wrapText="1"/>
    </xf>
    <xf borderId="0" fillId="0" fontId="24" numFmtId="0" xfId="0" applyAlignment="1" applyFont="1">
      <alignment shrinkToFit="0" vertical="center" wrapText="1"/>
    </xf>
    <xf borderId="0" fillId="0" fontId="2" numFmtId="0" xfId="0" applyAlignment="1" applyFont="1">
      <alignment readingOrder="0"/>
    </xf>
    <xf borderId="1" fillId="5" fontId="26" numFmtId="0" xfId="0" applyAlignment="1" applyBorder="1" applyFont="1">
      <alignment horizontal="center" shrinkToFit="0" wrapText="1"/>
    </xf>
    <xf borderId="1" fillId="4" fontId="37" numFmtId="0" xfId="0" applyAlignment="1" applyBorder="1" applyFont="1">
      <alignment horizontal="center" readingOrder="0" shrinkToFit="0" vertical="center" wrapText="1"/>
    </xf>
    <xf borderId="1" fillId="8" fontId="36" numFmtId="0" xfId="0" applyAlignment="1" applyBorder="1" applyFill="1" applyFont="1">
      <alignment readingOrder="0" shrinkToFit="0" vertical="center" wrapText="1"/>
    </xf>
    <xf borderId="4" fillId="8" fontId="43" numFmtId="0" xfId="0" applyAlignment="1" applyBorder="1" applyFont="1">
      <alignment readingOrder="0" shrinkToFit="0" vertical="center" wrapText="1"/>
    </xf>
    <xf borderId="1" fillId="8" fontId="44" numFmtId="0" xfId="0" applyAlignment="1" applyBorder="1" applyFont="1">
      <alignment readingOrder="0" shrinkToFit="0" vertical="center" wrapText="1"/>
    </xf>
    <xf borderId="3" fillId="8" fontId="36" numFmtId="0" xfId="0" applyAlignment="1" applyBorder="1" applyFont="1">
      <alignment readingOrder="0" shrinkToFit="0" vertical="center" wrapText="1"/>
    </xf>
    <xf borderId="4" fillId="8" fontId="23" numFmtId="0" xfId="0" applyAlignment="1" applyBorder="1" applyFont="1">
      <alignment readingOrder="0" shrinkToFit="0" vertical="center" wrapText="1"/>
    </xf>
    <xf borderId="5" fillId="8" fontId="36" numFmtId="0" xfId="0" applyAlignment="1" applyBorder="1" applyFont="1">
      <alignment horizontal="center" readingOrder="0" shrinkToFit="0" vertical="center" wrapText="1"/>
    </xf>
    <xf borderId="1" fillId="8" fontId="36" numFmtId="0" xfId="0" applyAlignment="1" applyBorder="1" applyFont="1">
      <alignment horizontal="center" readingOrder="0" shrinkToFit="0" vertical="center" wrapText="1"/>
    </xf>
    <xf borderId="1" fillId="4" fontId="23" numFmtId="0" xfId="0" applyAlignment="1" applyBorder="1" applyFont="1">
      <alignment readingOrder="0" shrinkToFit="0" vertical="center" wrapText="1"/>
    </xf>
  </cellXfs>
  <cellStyles count="1">
    <cellStyle xfId="0" name="Normal" builtinId="0"/>
  </cellStyles>
  <dxfs count="6">
    <dxf>
      <font/>
      <fill>
        <patternFill patternType="none"/>
      </fill>
      <border/>
    </dxf>
    <dxf>
      <font/>
      <fill>
        <patternFill patternType="solid">
          <fgColor rgb="FF3C78D8"/>
          <bgColor rgb="FF3C78D8"/>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C78D8"/>
        </left>
        <right style="thin">
          <color rgb="FF3C78D8"/>
        </right>
        <top style="thin">
          <color rgb="FF3C78D8"/>
        </top>
        <bottom style="thin">
          <color rgb="FF3C78D8"/>
        </bottom>
      </border>
    </dxf>
    <dxf>
      <font/>
      <fill>
        <patternFill patternType="solid">
          <fgColor rgb="FF356854"/>
          <bgColor rgb="FF356854"/>
        </patternFill>
      </fill>
      <border/>
    </dxf>
  </dxfs>
  <tableStyles count="2">
    <tableStyle count="4" pivot="0" name="Chapter Status-style">
      <tableStyleElement dxfId="1" type="headerRow"/>
      <tableStyleElement dxfId="2" type="firstRowStripe"/>
      <tableStyleElement dxfId="3" type="secondRowStripe"/>
      <tableStyleElement dxfId="4" size="0" type="wholeTable"/>
    </tableStyle>
    <tableStyle count="4" pivot="0" name="Char text audio name-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10" displayName="Chapter_Status" name="Chapter_Status" id="1">
  <autoFilter ref="$A$1:$G$110"/>
  <tableColumns count="7">
    <tableColumn name="Due Date" id="1"/>
    <tableColumn name="Person/ Status" id="2"/>
    <tableColumn name="Type" id="3"/>
    <tableColumn name="Name" id="4"/>
    <tableColumn name="dashed-name" id="5"/>
    <tableColumn name="QA" id="6"/>
    <tableColumn name="PR Links/ notes" id="7"/>
  </tableColumns>
  <tableStyleInfo name="Chapter Status-style" showColumnStripes="0" showFirstColumn="1" showLastColumn="1" showRowStripes="1"/>
</table>
</file>

<file path=xl/tables/table2.xml><?xml version="1.0" encoding="utf-8"?>
<table xmlns="http://schemas.openxmlformats.org/spreadsheetml/2006/main" ref="A2:E62" displayName="Table1" name="Table1" id="2">
  <tableColumns count="5">
    <tableColumn name="Used in" id="1"/>
    <tableColumn name="Text name" id="2"/>
    <tableColumn name="Audio file name on CDN" id="3"/>
    <tableColumn name="Female" id="4"/>
    <tableColumn name="Male" id="5"/>
  </tableColumns>
  <tableStyleInfo name="Char text audio na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2_gramatica_glosario.ht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vc.cervantes.es/ensenanza/biblioteca_ele/plan_curricular/niveles/03_pronunciacion_inventario_a1-a2.ht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github.com/freeCodeCamp/freeCodeCamp/pull/64080" TargetMode="External"/><Relationship Id="rId10" Type="http://schemas.openxmlformats.org/officeDocument/2006/relationships/hyperlink" Target="https://github.com/freeCodeCamp/freeCodeCamp/pull/63672" TargetMode="External"/><Relationship Id="rId13" Type="http://schemas.openxmlformats.org/officeDocument/2006/relationships/hyperlink" Target="https://github.com/freeCodeCamp/freeCodeCamp/pull/65795" TargetMode="External"/><Relationship Id="rId12" Type="http://schemas.openxmlformats.org/officeDocument/2006/relationships/hyperlink" Target="https://github.com/freeCodeCamp/freeCodeCamp/pull/65440" TargetMode="External"/><Relationship Id="rId1" Type="http://schemas.openxmlformats.org/officeDocument/2006/relationships/comments" Target="../comments1.xml"/><Relationship Id="rId2" Type="http://schemas.openxmlformats.org/officeDocument/2006/relationships/hyperlink" Target="https://github.com/freeCodeCamp/freeCodeCamp/pull/62424" TargetMode="External"/><Relationship Id="rId3" Type="http://schemas.openxmlformats.org/officeDocument/2006/relationships/hyperlink" Target="https://github.com/freeCodeCamp/freeCodeCamp/pull/62719" TargetMode="External"/><Relationship Id="rId4" Type="http://schemas.openxmlformats.org/officeDocument/2006/relationships/hyperlink" Target="https://github.com/freeCodeCamp/freeCodeCamp/pull/64018" TargetMode="External"/><Relationship Id="rId9" Type="http://schemas.openxmlformats.org/officeDocument/2006/relationships/hyperlink" Target="https://github.com/freeCodeCamp/freeCodeCamp/pull/63985" TargetMode="External"/><Relationship Id="rId15" Type="http://schemas.openxmlformats.org/officeDocument/2006/relationships/vmlDrawing" Target="../drawings/vmlDrawing1.vml"/><Relationship Id="rId14" Type="http://schemas.openxmlformats.org/officeDocument/2006/relationships/drawing" Target="../drawings/drawing4.xml"/><Relationship Id="rId17" Type="http://schemas.openxmlformats.org/officeDocument/2006/relationships/table" Target="../tables/table1.xml"/><Relationship Id="rId5" Type="http://schemas.openxmlformats.org/officeDocument/2006/relationships/hyperlink" Target="https://github.com/freeCodeCamp/freeCodeCamp/pull/62201" TargetMode="External"/><Relationship Id="rId6" Type="http://schemas.openxmlformats.org/officeDocument/2006/relationships/hyperlink" Target="https://github.com/freeCodeCamp/freeCodeCamp/pull/64535" TargetMode="External"/><Relationship Id="rId7" Type="http://schemas.openxmlformats.org/officeDocument/2006/relationships/hyperlink" Target="https://github.com/freeCodeCamp/freeCodeCamp/pull/62465" TargetMode="External"/><Relationship Id="rId8" Type="http://schemas.openxmlformats.org/officeDocument/2006/relationships/hyperlink" Target="https://github.com/freeCodeCamp/freeCodeCamp/pull/63825"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cvc.cervantes.es/ensenanza/biblioteca_ele/plan_curricular/niveles/05_funciones_inventario_a1-a2.htm" TargetMode="External"/><Relationship Id="rId10" Type="http://schemas.openxmlformats.org/officeDocument/2006/relationships/hyperlink" Target="https://cvc.cervantes.es/ensenanza/biblioteca_ele/plan_curricular/niveles/02_gramatica_inventario_a1-a2.htm" TargetMode="External"/><Relationship Id="rId13" Type="http://schemas.openxmlformats.org/officeDocument/2006/relationships/hyperlink" Target="https://cvc.cervantes.es/ensenanza/biblioteca_ele/plan_curricular/niveles/09_nociones_especificas_inventario_a1-a2.htm" TargetMode="External"/><Relationship Id="rId12" Type="http://schemas.openxmlformats.org/officeDocument/2006/relationships/hyperlink" Target="https://cvc.cervantes.es/ensenanza/biblioteca_ele/plan_curricular/niveles/08_nociones_generales_inventario_a1-a2.htm" TargetMode="External"/><Relationship Id="rId1" Type="http://schemas.openxmlformats.org/officeDocument/2006/relationships/comments" Target="../comments2.xml"/><Relationship Id="rId2" Type="http://schemas.openxmlformats.org/officeDocument/2006/relationships/hyperlink" Target="https://cvc.cervantes.es/ensenanza/biblioteca_ele/plan_curricular/niveles/02_gramatica_inventario_a1-a2.htm" TargetMode="External"/><Relationship Id="rId3" Type="http://schemas.openxmlformats.org/officeDocument/2006/relationships/hyperlink" Target="https://cvc.cervantes.es/ensenanza/biblioteca_ele/plan_curricular/niveles/05_funciones_inventario_a1-a2.htm" TargetMode="External"/><Relationship Id="rId4" Type="http://schemas.openxmlformats.org/officeDocument/2006/relationships/hyperlink" Target="https://cvc.cervantes.es/ensenanza/biblioteca_ele/plan_curricular/niveles/08_nociones_generales_inventario_a1-a2.htm" TargetMode="External"/><Relationship Id="rId9" Type="http://schemas.openxmlformats.org/officeDocument/2006/relationships/hyperlink" Target="https://cvc.cervantes.es/ensenanza/biblioteca_ele/plan_curricular/niveles/10_referentes_culturales_inventario.htm" TargetMode="External"/><Relationship Id="rId15" Type="http://schemas.openxmlformats.org/officeDocument/2006/relationships/hyperlink" Target="https://cvc.cervantes.es/ensenanza/biblioteca_ele/plan_curricular/niveles/07_generos_discursivos_inventario_a1-a2.htm" TargetMode="External"/><Relationship Id="rId14" Type="http://schemas.openxmlformats.org/officeDocument/2006/relationships/hyperlink" Target="https://cvc.cervantes.es/ensenanza/biblioteca_ele/plan_curricular/niveles/06_tacticas_pragmaticas_inventario_a1-a2.htm" TargetMode="External"/><Relationship Id="rId17" Type="http://schemas.openxmlformats.org/officeDocument/2006/relationships/hyperlink" Target="https://cvc.cervantes.es/ensenanza/biblioteca_ele/plan_curricular/niveles/10_referentes_culturales_inventario.htm" TargetMode="External"/><Relationship Id="rId16" Type="http://schemas.openxmlformats.org/officeDocument/2006/relationships/hyperlink" Target="https://cvc.cervantes.es/ensenanza/biblioteca_ele/plan_curricular/niveles/04_ortografia_inventario_a1-a2.htm" TargetMode="External"/><Relationship Id="rId5" Type="http://schemas.openxmlformats.org/officeDocument/2006/relationships/hyperlink" Target="https://cvc.cervantes.es/ensenanza/biblioteca_ele/plan_curricular/niveles/09_nociones_especificas_inventario_a1-a2.htm" TargetMode="External"/><Relationship Id="rId19" Type="http://schemas.openxmlformats.org/officeDocument/2006/relationships/vmlDrawing" Target="../drawings/vmlDrawing2.vml"/><Relationship Id="rId6" Type="http://schemas.openxmlformats.org/officeDocument/2006/relationships/hyperlink" Target="https://cvc.cervantes.es/ensenanza/biblioteca_ele/plan_curricular/niveles/06_tacticas_pragmaticas_inventario_a1-a2.htm" TargetMode="External"/><Relationship Id="rId18" Type="http://schemas.openxmlformats.org/officeDocument/2006/relationships/drawing" Target="../drawings/drawing5.xml"/><Relationship Id="rId7" Type="http://schemas.openxmlformats.org/officeDocument/2006/relationships/hyperlink" Target="https://cvc.cervantes.es/ensenanza/biblioteca_ele/plan_curricular/niveles/07_generos_discursivos_inventario_a1-a2.htm" TargetMode="External"/><Relationship Id="rId8" Type="http://schemas.openxmlformats.org/officeDocument/2006/relationships/hyperlink" Target="https://cvc.cervantes.es/ensenanza/biblioteca_ele/plan_curricular/niveles/04_ortografia_inventario_a1-a2.ht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5_funciones_inventario_a1-a2.htm" TargetMode="External"/><Relationship Id="rId3" Type="http://schemas.openxmlformats.org/officeDocument/2006/relationships/hyperlink" Target="https://cvc.cervantes.es/ensenanza/biblioteca_ele/plan_curricular/niveles/08_nociones_generales_inventario_a1-a2.htm" TargetMode="External"/><Relationship Id="rId4" Type="http://schemas.openxmlformats.org/officeDocument/2006/relationships/hyperlink" Target="https://cvc.cervantes.es/ensenanza/biblioteca_ele/plan_curricular/niveles/09_nociones_especificas_inventario_a1-a2.htm" TargetMode="External"/><Relationship Id="rId9" Type="http://schemas.openxmlformats.org/officeDocument/2006/relationships/drawing" Target="../drawings/drawing6.xml"/><Relationship Id="rId5" Type="http://schemas.openxmlformats.org/officeDocument/2006/relationships/hyperlink" Target="https://cvc.cervantes.es/ensenanza/biblioteca_ele/plan_curricular/niveles/06_tacticas_pragmaticas_inventario_a1-a2.htm" TargetMode="External"/><Relationship Id="rId6" Type="http://schemas.openxmlformats.org/officeDocument/2006/relationships/hyperlink" Target="https://cvc.cervantes.es/ensenanza/biblioteca_ele/plan_curricular/niveles/07_generos_discursivos_inventario_a1-a2.htm" TargetMode="External"/><Relationship Id="rId7" Type="http://schemas.openxmlformats.org/officeDocument/2006/relationships/hyperlink" Target="https://cvc.cervantes.es/ensenanza/biblioteca_ele/plan_curricular/niveles/04_ortografia_inventario_a1-a2.htm" TargetMode="External"/><Relationship Id="rId8" Type="http://schemas.openxmlformats.org/officeDocument/2006/relationships/hyperlink" Target="https://cvc.cervantes.es/ensenanza/biblioteca_ele/plan_curricular/niveles/10_referentes_culturales_inventario.htm"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cvc.cervantes.es/ensenanza/biblioteca_ele/plan_curricular/niveles/09_nociones_especificas_inventario_a1-a2.htm" TargetMode="External"/><Relationship Id="rId22" Type="http://schemas.openxmlformats.org/officeDocument/2006/relationships/hyperlink" Target="https://cvc.cervantes.es/ensenanza/biblioteca_ele/plan_curricular/niveles/07_generos_discursivos_inventario_a1-a2.htm" TargetMode="External"/><Relationship Id="rId21" Type="http://schemas.openxmlformats.org/officeDocument/2006/relationships/hyperlink" Target="https://cvc.cervantes.es/ensenanza/biblioteca_ele/plan_curricular/niveles/06_tacticas_pragmaticas_inventario_a1-a2.htm" TargetMode="External"/><Relationship Id="rId24" Type="http://schemas.openxmlformats.org/officeDocument/2006/relationships/hyperlink" Target="https://cvc.cervantes.es/ensenanza/biblioteca_ele/plan_curricular/niveles/10_referentes_culturales_inventario.htm" TargetMode="External"/><Relationship Id="rId23" Type="http://schemas.openxmlformats.org/officeDocument/2006/relationships/hyperlink" Target="https://cvc.cervantes.es/ensenanza/biblioteca_ele/plan_curricular/niveles/04_ortografia_inventario_a1-a2.htm" TargetMode="External"/><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5_funciones_inventario_a1-a2.htm" TargetMode="External"/><Relationship Id="rId3" Type="http://schemas.openxmlformats.org/officeDocument/2006/relationships/hyperlink" Target="https://cvc.cervantes.es/ensenanza/biblioteca_ele/plan_curricular/niveles/08_nociones_generales_inventario_a1-a2.htm" TargetMode="External"/><Relationship Id="rId4" Type="http://schemas.openxmlformats.org/officeDocument/2006/relationships/hyperlink" Target="https://cvc.cervantes.es/ensenanza/biblioteca_ele/plan_curricular/niveles/09_nociones_especificas_inventario_a1-a2.htm" TargetMode="External"/><Relationship Id="rId9" Type="http://schemas.openxmlformats.org/officeDocument/2006/relationships/hyperlink" Target="https://cvc.cervantes.es/ensenanza/biblioteca_ele/plan_curricular/niveles/02_gramatica_inventario_a1-a2.htm" TargetMode="External"/><Relationship Id="rId25" Type="http://schemas.openxmlformats.org/officeDocument/2006/relationships/drawing" Target="../drawings/drawing7.xml"/><Relationship Id="rId5" Type="http://schemas.openxmlformats.org/officeDocument/2006/relationships/hyperlink" Target="https://cvc.cervantes.es/ensenanza/biblioteca_ele/plan_curricular/niveles/06_tacticas_pragmaticas_inventario_a1-a2.htm" TargetMode="External"/><Relationship Id="rId6" Type="http://schemas.openxmlformats.org/officeDocument/2006/relationships/hyperlink" Target="https://cvc.cervantes.es/ensenanza/biblioteca_ele/plan_curricular/niveles/07_generos_discursivos_inventario_a1-a2.htm" TargetMode="External"/><Relationship Id="rId7" Type="http://schemas.openxmlformats.org/officeDocument/2006/relationships/hyperlink" Target="https://cvc.cervantes.es/ensenanza/biblioteca_ele/plan_curricular/niveles/04_ortografia_inventario_a1-a2.htm" TargetMode="External"/><Relationship Id="rId8" Type="http://schemas.openxmlformats.org/officeDocument/2006/relationships/hyperlink" Target="https://cvc.cervantes.es/ensenanza/biblioteca_ele/plan_curricular/niveles/10_referentes_culturales_inventario.htm" TargetMode="External"/><Relationship Id="rId11" Type="http://schemas.openxmlformats.org/officeDocument/2006/relationships/hyperlink" Target="https://cvc.cervantes.es/ensenanza/biblioteca_ele/plan_curricular/niveles/08_nociones_generales_inventario_a1-a2.htm" TargetMode="External"/><Relationship Id="rId10" Type="http://schemas.openxmlformats.org/officeDocument/2006/relationships/hyperlink" Target="https://cvc.cervantes.es/ensenanza/biblioteca_ele/plan_curricular/niveles/05_funciones_inventario_a1-a2.htm" TargetMode="External"/><Relationship Id="rId13" Type="http://schemas.openxmlformats.org/officeDocument/2006/relationships/hyperlink" Target="https://cvc.cervantes.es/ensenanza/biblioteca_ele/plan_curricular/niveles/06_tacticas_pragmaticas_inventario_a1-a2.htm" TargetMode="External"/><Relationship Id="rId12" Type="http://schemas.openxmlformats.org/officeDocument/2006/relationships/hyperlink" Target="https://cvc.cervantes.es/ensenanza/biblioteca_ele/plan_curricular/niveles/09_nociones_especificas_inventario_a1-a2.htm" TargetMode="External"/><Relationship Id="rId15" Type="http://schemas.openxmlformats.org/officeDocument/2006/relationships/hyperlink" Target="https://cvc.cervantes.es/ensenanza/biblioteca_ele/plan_curricular/niveles/04_ortografia_inventario_a1-a2.htm" TargetMode="External"/><Relationship Id="rId14" Type="http://schemas.openxmlformats.org/officeDocument/2006/relationships/hyperlink" Target="https://cvc.cervantes.es/ensenanza/biblioteca_ele/plan_curricular/niveles/07_generos_discursivos_inventario_a1-a2.htm" TargetMode="External"/><Relationship Id="rId17" Type="http://schemas.openxmlformats.org/officeDocument/2006/relationships/hyperlink" Target="https://cvc.cervantes.es/ensenanza/biblioteca_ele/plan_curricular/niveles/02_gramatica_inventario_a1-a2.htm" TargetMode="External"/><Relationship Id="rId16" Type="http://schemas.openxmlformats.org/officeDocument/2006/relationships/hyperlink" Target="https://cvc.cervantes.es/ensenanza/biblioteca_ele/plan_curricular/niveles/10_referentes_culturales_inventario.htm" TargetMode="External"/><Relationship Id="rId19" Type="http://schemas.openxmlformats.org/officeDocument/2006/relationships/hyperlink" Target="https://cvc.cervantes.es/ensenanza/biblioteca_ele/plan_curricular/niveles/08_nociones_generales_inventario_a1-a2.htm" TargetMode="External"/><Relationship Id="rId18" Type="http://schemas.openxmlformats.org/officeDocument/2006/relationships/hyperlink" Target="https://cvc.cervantes.es/ensenanza/biblioteca_ele/plan_curricular/niveles/05_funciones_inventario_a1-a2.htm"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cvc.cervantes.es/ensenanza/biblioteca_ele/plan_curricular/niveles/05_funciones_inventario_a1-a2.htm" TargetMode="External"/><Relationship Id="rId22" Type="http://schemas.openxmlformats.org/officeDocument/2006/relationships/hyperlink" Target="https://cvc.cervantes.es/ensenanza/biblioteca_ele/plan_curricular/niveles/09_nociones_especificas_inventario_a1-a2.htm" TargetMode="External"/><Relationship Id="rId21" Type="http://schemas.openxmlformats.org/officeDocument/2006/relationships/hyperlink" Target="https://cvc.cervantes.es/ensenanza/biblioteca_ele/plan_curricular/niveles/08_nociones_generales_inventario_a1-a2.htm" TargetMode="External"/><Relationship Id="rId24" Type="http://schemas.openxmlformats.org/officeDocument/2006/relationships/hyperlink" Target="https://cvc.cervantes.es/ensenanza/biblioteca_ele/plan_curricular/niveles/07_generos_discursivos_inventario_a1-a2.htm" TargetMode="External"/><Relationship Id="rId23" Type="http://schemas.openxmlformats.org/officeDocument/2006/relationships/hyperlink" Target="https://cvc.cervantes.es/ensenanza/biblioteca_ele/plan_curricular/niveles/06_tacticas_pragmaticas_inventario_a1-a2.htm" TargetMode="External"/><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5_funciones_inventario_a1-a2.htm" TargetMode="External"/><Relationship Id="rId3" Type="http://schemas.openxmlformats.org/officeDocument/2006/relationships/hyperlink" Target="https://cvc.cervantes.es/ensenanza/biblioteca_ele/plan_curricular/niveles/08_nociones_generales_inventario_a1-a2.htm" TargetMode="External"/><Relationship Id="rId4" Type="http://schemas.openxmlformats.org/officeDocument/2006/relationships/hyperlink" Target="https://cvc.cervantes.es/ensenanza/biblioteca_ele/plan_curricular/niveles/09_nociones_especificas_inventario_a1-a2.htm" TargetMode="External"/><Relationship Id="rId9" Type="http://schemas.openxmlformats.org/officeDocument/2006/relationships/hyperlink" Target="https://cvc.cervantes.es/ensenanza/biblioteca_ele/plan_curricular/niveles/02_gramatica_inventario_a1-a2.htm" TargetMode="External"/><Relationship Id="rId26" Type="http://schemas.openxmlformats.org/officeDocument/2006/relationships/hyperlink" Target="https://cvc.cervantes.es/ensenanza/biblioteca_ele/plan_curricular/niveles/10_referentes_culturales_inventario.htm" TargetMode="External"/><Relationship Id="rId25" Type="http://schemas.openxmlformats.org/officeDocument/2006/relationships/hyperlink" Target="https://cvc.cervantes.es/ensenanza/biblioteca_ele/plan_curricular/niveles/04_ortografia_inventario_a1-a2.htm" TargetMode="External"/><Relationship Id="rId27" Type="http://schemas.openxmlformats.org/officeDocument/2006/relationships/drawing" Target="../drawings/drawing8.xml"/><Relationship Id="rId5" Type="http://schemas.openxmlformats.org/officeDocument/2006/relationships/hyperlink" Target="https://cvc.cervantes.es/ensenanza/biblioteca_ele/plan_curricular/niveles/06_tacticas_pragmaticas_inventario_a1-a2.htm" TargetMode="External"/><Relationship Id="rId6" Type="http://schemas.openxmlformats.org/officeDocument/2006/relationships/hyperlink" Target="https://cvc.cervantes.es/ensenanza/biblioteca_ele/plan_curricular/niveles/07_generos_discursivos_inventario_a1-a2.htm" TargetMode="External"/><Relationship Id="rId7" Type="http://schemas.openxmlformats.org/officeDocument/2006/relationships/hyperlink" Target="https://cvc.cervantes.es/ensenanza/biblioteca_ele/plan_curricular/niveles/04_ortografia_inventario_a1-a2.htm" TargetMode="External"/><Relationship Id="rId8" Type="http://schemas.openxmlformats.org/officeDocument/2006/relationships/hyperlink" Target="https://cvc.cervantes.es/ensenanza/biblioteca_ele/plan_curricular/niveles/10_referentes_culturales_inventario.htm" TargetMode="External"/><Relationship Id="rId11" Type="http://schemas.openxmlformats.org/officeDocument/2006/relationships/hyperlink" Target="https://cvc.cervantes.es/ensenanza/biblioteca_ele/plan_curricular/niveles/08_nociones_generales_inventario_a1-a2.htm" TargetMode="External"/><Relationship Id="rId10" Type="http://schemas.openxmlformats.org/officeDocument/2006/relationships/hyperlink" Target="https://cvc.cervantes.es/ensenanza/biblioteca_ele/plan_curricular/niveles/05_funciones_inventario_a1-a2.htm" TargetMode="External"/><Relationship Id="rId13" Type="http://schemas.openxmlformats.org/officeDocument/2006/relationships/hyperlink" Target="https://cvc.cervantes.es/ensenanza/biblioteca_ele/plan_curricular/niveles/06_tacticas_pragmaticas_inventario_a1-a2.htm" TargetMode="External"/><Relationship Id="rId12" Type="http://schemas.openxmlformats.org/officeDocument/2006/relationships/hyperlink" Target="https://cvc.cervantes.es/ensenanza/biblioteca_ele/plan_curricular/niveles/09_nociones_especificas_inventario_a1-a2.htm" TargetMode="External"/><Relationship Id="rId15" Type="http://schemas.openxmlformats.org/officeDocument/2006/relationships/hyperlink" Target="https://cvc.cervantes.es/ensenanza/biblioteca_ele/plan_curricular/niveles/04_ortografia_inventario_a1-a2.htm" TargetMode="External"/><Relationship Id="rId14" Type="http://schemas.openxmlformats.org/officeDocument/2006/relationships/hyperlink" Target="https://cvc.cervantes.es/ensenanza/biblioteca_ele/plan_curricular/niveles/07_generos_discursivos_inventario_a1-a2.htm" TargetMode="External"/><Relationship Id="rId17" Type="http://schemas.openxmlformats.org/officeDocument/2006/relationships/hyperlink" Target="http://www.andescommerce.com/" TargetMode="External"/><Relationship Id="rId16" Type="http://schemas.openxmlformats.org/officeDocument/2006/relationships/hyperlink" Target="https://cvc.cervantes.es/ensenanza/biblioteca_ele/plan_curricular/niveles/10_referentes_culturales_inventario.htm" TargetMode="External"/><Relationship Id="rId19" Type="http://schemas.openxmlformats.org/officeDocument/2006/relationships/hyperlink" Target="https://cvc.cervantes.es/ensenanza/biblioteca_ele/plan_curricular/niveles/02_gramatica_inventario_a1-a2.htm" TargetMode="External"/><Relationship Id="rId18" Type="http://schemas.openxmlformats.org/officeDocument/2006/relationships/hyperlink" Target="http://www.andescommerce.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0" Type="http://schemas.openxmlformats.org/officeDocument/2006/relationships/hyperlink" Target="https://cvc.cervantes.es/ensenanza/biblioteca_ele/plan_curricular/niveles/09_nociones_especificas_inventario_a1-a2.htm" TargetMode="External"/><Relationship Id="rId22" Type="http://schemas.openxmlformats.org/officeDocument/2006/relationships/hyperlink" Target="https://cvc.cervantes.es/ensenanza/biblioteca_ele/plan_curricular/niveles/07_generos_discursivos_inventario_a1-a2.htm" TargetMode="External"/><Relationship Id="rId21" Type="http://schemas.openxmlformats.org/officeDocument/2006/relationships/hyperlink" Target="https://cvc.cervantes.es/ensenanza/biblioteca_ele/plan_curricular/niveles/06_tacticas_pragmaticas_inventario_a1-a2.htm" TargetMode="External"/><Relationship Id="rId24" Type="http://schemas.openxmlformats.org/officeDocument/2006/relationships/hyperlink" Target="https://cvc.cervantes.es/ensenanza/biblioteca_ele/plan_curricular/niveles/10_referentes_culturales_inventario.htm" TargetMode="External"/><Relationship Id="rId23" Type="http://schemas.openxmlformats.org/officeDocument/2006/relationships/hyperlink" Target="https://cvc.cervantes.es/ensenanza/biblioteca_ele/plan_curricular/niveles/04_ortografia_inventario_a1-a2.htm" TargetMode="External"/><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5_funciones_inventario_a1-a2.htm" TargetMode="External"/><Relationship Id="rId3" Type="http://schemas.openxmlformats.org/officeDocument/2006/relationships/hyperlink" Target="https://cvc.cervantes.es/ensenanza/biblioteca_ele/plan_curricular/niveles/08_nociones_generales_inventario_a1-a2.htm" TargetMode="External"/><Relationship Id="rId4" Type="http://schemas.openxmlformats.org/officeDocument/2006/relationships/hyperlink" Target="https://cvc.cervantes.es/ensenanza/biblioteca_ele/plan_curricular/niveles/09_nociones_especificas_inventario_a1-a2.htm" TargetMode="External"/><Relationship Id="rId9" Type="http://schemas.openxmlformats.org/officeDocument/2006/relationships/hyperlink" Target="https://cvc.cervantes.es/ensenanza/biblioteca_ele/plan_curricular/niveles/02_gramatica_inventario_a1-a2.htm" TargetMode="External"/><Relationship Id="rId25" Type="http://schemas.openxmlformats.org/officeDocument/2006/relationships/drawing" Target="../drawings/drawing10.xml"/><Relationship Id="rId5" Type="http://schemas.openxmlformats.org/officeDocument/2006/relationships/hyperlink" Target="https://cvc.cervantes.es/ensenanza/biblioteca_ele/plan_curricular/niveles/06_tacticas_pragmaticas_inventario_a1-a2.htm" TargetMode="External"/><Relationship Id="rId6" Type="http://schemas.openxmlformats.org/officeDocument/2006/relationships/hyperlink" Target="https://cvc.cervantes.es/ensenanza/biblioteca_ele/plan_curricular/niveles/07_generos_discursivos_inventario_a1-a2.htm" TargetMode="External"/><Relationship Id="rId7" Type="http://schemas.openxmlformats.org/officeDocument/2006/relationships/hyperlink" Target="https://cvc.cervantes.es/ensenanza/biblioteca_ele/plan_curricular/niveles/04_ortografia_inventario_a1-a2.htm" TargetMode="External"/><Relationship Id="rId8" Type="http://schemas.openxmlformats.org/officeDocument/2006/relationships/hyperlink" Target="https://cvc.cervantes.es/ensenanza/biblioteca_ele/plan_curricular/niveles/10_referentes_culturales_inventario.htm" TargetMode="External"/><Relationship Id="rId11" Type="http://schemas.openxmlformats.org/officeDocument/2006/relationships/hyperlink" Target="https://cvc.cervantes.es/ensenanza/biblioteca_ele/plan_curricular/niveles/08_nociones_generales_inventario_a1-a2.htm" TargetMode="External"/><Relationship Id="rId10" Type="http://schemas.openxmlformats.org/officeDocument/2006/relationships/hyperlink" Target="https://cvc.cervantes.es/ensenanza/biblioteca_ele/plan_curricular/niveles/05_funciones_inventario_a1-a2.htm" TargetMode="External"/><Relationship Id="rId13" Type="http://schemas.openxmlformats.org/officeDocument/2006/relationships/hyperlink" Target="https://cvc.cervantes.es/ensenanza/biblioteca_ele/plan_curricular/niveles/06_tacticas_pragmaticas_inventario_a1-a2.htm" TargetMode="External"/><Relationship Id="rId12" Type="http://schemas.openxmlformats.org/officeDocument/2006/relationships/hyperlink" Target="https://cvc.cervantes.es/ensenanza/biblioteca_ele/plan_curricular/niveles/09_nociones_especificas_inventario_a1-a2.htm" TargetMode="External"/><Relationship Id="rId15" Type="http://schemas.openxmlformats.org/officeDocument/2006/relationships/hyperlink" Target="https://cvc.cervantes.es/ensenanza/biblioteca_ele/plan_curricular/niveles/04_ortografia_inventario_a1-a2.htm" TargetMode="External"/><Relationship Id="rId14" Type="http://schemas.openxmlformats.org/officeDocument/2006/relationships/hyperlink" Target="https://cvc.cervantes.es/ensenanza/biblioteca_ele/plan_curricular/niveles/07_generos_discursivos_inventario_a1-a2.htm" TargetMode="External"/><Relationship Id="rId17" Type="http://schemas.openxmlformats.org/officeDocument/2006/relationships/hyperlink" Target="https://cvc.cervantes.es/ensenanza/biblioteca_ele/plan_curricular/niveles/02_gramatica_inventario_a1-a2.htm" TargetMode="External"/><Relationship Id="rId16" Type="http://schemas.openxmlformats.org/officeDocument/2006/relationships/hyperlink" Target="https://cvc.cervantes.es/ensenanza/biblioteca_ele/plan_curricular/niveles/10_referentes_culturales_inventario.htm" TargetMode="External"/><Relationship Id="rId19" Type="http://schemas.openxmlformats.org/officeDocument/2006/relationships/hyperlink" Target="https://cvc.cervantes.es/ensenanza/biblioteca_ele/plan_curricular/niveles/08_nociones_generales_inventario_a1-a2.htm" TargetMode="External"/><Relationship Id="rId18" Type="http://schemas.openxmlformats.org/officeDocument/2006/relationships/hyperlink" Target="https://cvc.cervantes.es/ensenanza/biblioteca_ele/plan_curricular/niveles/05_funciones_inventario_a1-a2.ht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vc.cervantes.es/ensenanza/biblioteca_ele/plan_curricular/niveles/02_gramatica_inventario_a1-a2.htm" TargetMode="External"/><Relationship Id="rId2" Type="http://schemas.openxmlformats.org/officeDocument/2006/relationships/hyperlink" Target="https://cvc.cervantes.es/ensenanza/biblioteca_ele/plan_curricular/niveles/05_funciones_inventario_a1-a2.htm" TargetMode="External"/><Relationship Id="rId3" Type="http://schemas.openxmlformats.org/officeDocument/2006/relationships/hyperlink" Target="https://cvc.cervantes.es/ensenanza/biblioteca_ele/plan_curricular/niveles/08_nociones_generales_inventario_a1-a2.htm" TargetMode="External"/><Relationship Id="rId4" Type="http://schemas.openxmlformats.org/officeDocument/2006/relationships/hyperlink" Target="https://cvc.cervantes.es/ensenanza/biblioteca_ele/plan_curricular/niveles/09_nociones_especificas_inventario_a1-a2.htm" TargetMode="External"/><Relationship Id="rId9" Type="http://schemas.openxmlformats.org/officeDocument/2006/relationships/drawing" Target="../drawings/drawing13.xml"/><Relationship Id="rId5" Type="http://schemas.openxmlformats.org/officeDocument/2006/relationships/hyperlink" Target="https://cvc.cervantes.es/ensenanza/biblioteca_ele/plan_curricular/niveles/06_tacticas_pragmaticas_inventario_a1-a2.htm" TargetMode="External"/><Relationship Id="rId6" Type="http://schemas.openxmlformats.org/officeDocument/2006/relationships/hyperlink" Target="https://cvc.cervantes.es/ensenanza/biblioteca_ele/plan_curricular/niveles/07_generos_discursivos_inventario_a1-a2.htm" TargetMode="External"/><Relationship Id="rId7" Type="http://schemas.openxmlformats.org/officeDocument/2006/relationships/hyperlink" Target="https://cvc.cervantes.es/ensenanza/biblioteca_ele/plan_curricular/niveles/04_ortografia_inventario_a1-a2.htm" TargetMode="External"/><Relationship Id="rId8" Type="http://schemas.openxmlformats.org/officeDocument/2006/relationships/hyperlink" Target="https://cvc.cervantes.es/ensenanza/biblioteca_ele/plan_curricular/niveles/10_referentes_culturales_inventario.ht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38.25"/>
    <col customWidth="1" min="4" max="4" width="12.75"/>
  </cols>
  <sheetData>
    <row r="1">
      <c r="A1" s="1" t="s">
        <v>0</v>
      </c>
      <c r="B1" s="2"/>
      <c r="C1" s="2"/>
      <c r="D1" s="2"/>
    </row>
    <row r="2">
      <c r="A2" s="1" t="s">
        <v>1</v>
      </c>
      <c r="B2" s="2"/>
      <c r="C2" s="2"/>
      <c r="D2" s="2"/>
    </row>
    <row r="3">
      <c r="A3" s="2" t="s">
        <v>2</v>
      </c>
      <c r="B3" s="2" t="s">
        <v>3</v>
      </c>
      <c r="C3" s="2" t="s">
        <v>4</v>
      </c>
      <c r="D3" s="2" t="s">
        <v>5</v>
      </c>
      <c r="E3" s="3" t="s">
        <v>6</v>
      </c>
      <c r="F3" s="3" t="s">
        <v>7</v>
      </c>
      <c r="G3" s="3" t="s">
        <v>8</v>
      </c>
    </row>
    <row r="4">
      <c r="A4" s="3" t="s">
        <v>9</v>
      </c>
      <c r="B4" s="3" t="s">
        <v>10</v>
      </c>
      <c r="C4" s="3" t="s">
        <v>11</v>
      </c>
      <c r="D4" s="3" t="s">
        <v>12</v>
      </c>
      <c r="E4" s="4">
        <f>IFERROR(__xludf.DUMMYFUNCTION("IF(
  C4="""","""",
  N(
    ISNUMBER(
      MATCH(
        TRIM(SUBSTITUTE(SUBSTITUTE(SUBSTITUTE(SUBSTITUTE(SUBSTITUTE(TO_TEXT(C4),CHAR(160),"" ""),CHAR(8239),"" ""),CHAR(8203),""""),""–"",""-""),""—"",""-"")),
        ARRAYFORMULA(
          TRIM(
     "&amp;"       SUBSTITUTE(
              SUBSTITUTE(
                SUBSTITUTE(
                  SUBSTITUTE(
                    SUBSTITUTE(SPLIT(TO_TEXT(template!A11),CHAR(10)),CHAR(160),"" ""),
                    CHAR(8239),"" ""
                  ),
       "&amp;"           CHAR(8203),""""
                ),
                ""–"",""-""
              ),
              ""—"",""-""
            )
          )
        ),
        0
      )
    )
  )
)
"),0.0)</f>
        <v>0</v>
      </c>
    </row>
    <row r="5">
      <c r="A5" s="3" t="s">
        <v>9</v>
      </c>
      <c r="B5" s="3" t="s">
        <v>10</v>
      </c>
      <c r="C5" s="3" t="s">
        <v>13</v>
      </c>
      <c r="D5" s="3" t="s">
        <v>14</v>
      </c>
      <c r="E5" s="4">
        <f>IFERROR(__xludf.DUMMYFUNCTION("IF(
  C5="""","""",
  COUNTIF(
    ARRAYFORMULA(
      TRIM(
        SUBSTITUTE(
          SUBSTITUTE(
            SUBSTITUTE(
              SUBSTITUTE(
                SUBSTITUTE(
                  SPLIT( FLATTEN( SUBSTITUTE(template!A12:A101, CHAR(10), "&amp;"""|"") ), ""|"" ),
                  CHAR(160),"" ""
                ),
                CHAR(8239),"" ""
              ),
              CHAR(8203),""""
            ),
            CHAR(8211),""-""
          ),
          CHAR(8212),""-""
        )
      )
 "&amp;"   ),
    TRIM(
      SUBSTITUTE(
        SUBSTITUTE(
          SUBSTITUTE(
            SUBSTITUTE(
              SUBSTITUTE( TO_TEXT(C5), CHAR(160),"" "" ),
              CHAR(8239),"" ""
            ),
            CHAR(8203),""""
          ),
          "&amp;"CHAR(8211),""-""
        ),
        CHAR(8212),""-""
      )
    )
  )
)
"),0.0)</f>
        <v>0</v>
      </c>
    </row>
    <row r="6">
      <c r="A6" s="3" t="s">
        <v>9</v>
      </c>
      <c r="B6" s="3" t="s">
        <v>10</v>
      </c>
      <c r="C6" s="3" t="s">
        <v>15</v>
      </c>
      <c r="D6" s="3" t="s">
        <v>16</v>
      </c>
      <c r="E6" s="4">
        <f>IFERROR(__xludf.DUMMYFUNCTION("IF(
  C6="""","""",
  COUNTIF(
    ARRAYFORMULA(
      TRIM(
        SUBSTITUTE(
          SUBSTITUTE(
            SUBSTITUTE(
              SUBSTITUTE(
                SUBSTITUTE(
                  SPLIT( FLATTEN( SUBSTITUTE(template!A13:A102, CHAR(10), "&amp;"""|"") ), ""|"" ),
                  CHAR(160),"" ""
                ),
                CHAR(8239),"" ""
              ),
              CHAR(8203),""""
            ),
            CHAR(8211),""-""
          ),
          CHAR(8212),""-""
        )
      )
 "&amp;"   ),
    TRIM(
      SUBSTITUTE(
        SUBSTITUTE(
          SUBSTITUTE(
            SUBSTITUTE(
              SUBSTITUTE( TO_TEXT(C6), CHAR(160),"" "" ),
              CHAR(8239),"" ""
            ),
            CHAR(8203),""""
          ),
          "&amp;"CHAR(8211),""-""
        ),
        CHAR(8212),""-""
      )
    )
  )
)
"),0.0)</f>
        <v>0</v>
      </c>
    </row>
    <row r="7">
      <c r="A7" s="3" t="s">
        <v>9</v>
      </c>
      <c r="B7" s="3" t="s">
        <v>10</v>
      </c>
      <c r="C7" s="3" t="s">
        <v>17</v>
      </c>
      <c r="D7" s="3" t="s">
        <v>18</v>
      </c>
      <c r="E7" s="4">
        <f>IFERROR(__xludf.DUMMYFUNCTION("IF(
  C7="""","""",
  COUNTIF(
    ARRAYFORMULA(
      TRIM(
        SUBSTITUTE(
          SUBSTITUTE(
            SUBSTITUTE(
              SUBSTITUTE(
                SUBSTITUTE(
                  SPLIT( FLATTEN( SUBSTITUTE(template!A14:A103, CHAR(10), "&amp;"""|"") ), ""|"" ),
                  CHAR(160),"" ""
                ),
                CHAR(8239),"" ""
              ),
              CHAR(8203),""""
            ),
            CHAR(8211),""-""
          ),
          CHAR(8212),""-""
        )
      )
 "&amp;"   ),
    TRIM(
      SUBSTITUTE(
        SUBSTITUTE(
          SUBSTITUTE(
            SUBSTITUTE(
              SUBSTITUTE( TO_TEXT(C7), CHAR(160),"" "" ),
              CHAR(8239),"" ""
            ),
            CHAR(8203),""""
          ),
          "&amp;"CHAR(8211),""-""
        ),
        CHAR(8212),""-""
      )
    )
  )
)
"),0.0)</f>
        <v>0</v>
      </c>
    </row>
    <row r="8">
      <c r="A8" s="3" t="s">
        <v>9</v>
      </c>
      <c r="B8" s="3" t="s">
        <v>10</v>
      </c>
      <c r="C8" s="3" t="s">
        <v>19</v>
      </c>
      <c r="D8" s="3" t="s">
        <v>20</v>
      </c>
      <c r="E8" s="4">
        <f>IFERROR(__xludf.DUMMYFUNCTION("IF(
  C8="""","""",
  COUNTIF(
    ARRAYFORMULA(
      TRIM(
        SUBSTITUTE(
          SUBSTITUTE(
            SUBSTITUTE(
              SUBSTITUTE(
                SUBSTITUTE(
                  SPLIT( FLATTEN( SUBSTITUTE(template!A15:A104, CHAR(10), "&amp;"""|"") ), ""|"" ),
                  CHAR(160),"" ""
                ),
                CHAR(8239),"" ""
              ),
              CHAR(8203),""""
            ),
            CHAR(8211),""-""
          ),
          CHAR(8212),""-""
        )
      )
 "&amp;"   ),
    TRIM(
      SUBSTITUTE(
        SUBSTITUTE(
          SUBSTITUTE(
            SUBSTITUTE(
              SUBSTITUTE( TO_TEXT(C8), CHAR(160),"" "" ),
              CHAR(8239),"" ""
            ),
            CHAR(8203),""""
          ),
          "&amp;"CHAR(8211),""-""
        ),
        CHAR(8212),""-""
      )
    )
  )
)
"),0.0)</f>
        <v>0</v>
      </c>
    </row>
    <row r="9">
      <c r="A9" s="3" t="s">
        <v>9</v>
      </c>
      <c r="B9" s="3" t="s">
        <v>10</v>
      </c>
      <c r="C9" s="3" t="s">
        <v>21</v>
      </c>
      <c r="D9" s="3" t="s">
        <v>22</v>
      </c>
      <c r="E9" s="4">
        <f>IFERROR(__xludf.DUMMYFUNCTION("IF(
  C9="""","""",
  COUNTIF(
    ARRAYFORMULA(
      TRIM(
        SUBSTITUTE(
          SUBSTITUTE(
            SUBSTITUTE(
              SUBSTITUTE(
                SUBSTITUTE(
                  SPLIT( FLATTEN( SUBSTITUTE(template!A16:A105, CHAR(10), "&amp;"""|"") ), ""|"" ),
                  CHAR(160),"" ""
                ),
                CHAR(8239),"" ""
              ),
              CHAR(8203),""""
            ),
            CHAR(8211),""-""
          ),
          CHAR(8212),""-""
        )
      )
 "&amp;"   ),
    TRIM(
      SUBSTITUTE(
        SUBSTITUTE(
          SUBSTITUTE(
            SUBSTITUTE(
              SUBSTITUTE( TO_TEXT(C9), CHAR(160),"" "" ),
              CHAR(8239),"" ""
            ),
            CHAR(8203),""""
          ),
          "&amp;"CHAR(8211),""-""
        ),
        CHAR(8212),""-""
      )
    )
  )
)
"),0.0)</f>
        <v>0</v>
      </c>
    </row>
    <row r="10">
      <c r="A10" s="3" t="s">
        <v>9</v>
      </c>
      <c r="B10" s="3" t="s">
        <v>10</v>
      </c>
      <c r="C10" s="3" t="s">
        <v>23</v>
      </c>
      <c r="D10" s="3" t="s">
        <v>24</v>
      </c>
      <c r="E10" s="4">
        <f>IFERROR(__xludf.DUMMYFUNCTION("IF(
  C10="""","""",
  COUNTIF(
    ARRAYFORMULA(
      TRIM(
        SUBSTITUTE(
          SUBSTITUTE(
            SUBSTITUTE(
              SUBSTITUTE(
                SUBSTITUTE(
                  SPLIT( FLATTEN( SUBSTITUTE(template!A17:A106, CHAR(10),"&amp;" ""|"") ), ""|"" ),
                  CHAR(160),"" ""
                ),
                CHAR(8239),"" ""
              ),
              CHAR(8203),""""
            ),
            CHAR(8211),""-""
          ),
          CHAR(8212),""-""
        )
      )
"&amp;"    ),
    TRIM(
      SUBSTITUTE(
        SUBSTITUTE(
          SUBSTITUTE(
            SUBSTITUTE(
              SUBSTITUTE( TO_TEXT(C10), CHAR(160),"" "" ),
              CHAR(8239),"" ""
            ),
            CHAR(8203),""""
          ),
        "&amp;"  CHAR(8211),""-""
        ),
        CHAR(8212),""-""
      )
    )
  )
)
"),0.0)</f>
        <v>0</v>
      </c>
    </row>
    <row r="11">
      <c r="A11" s="3" t="s">
        <v>9</v>
      </c>
      <c r="B11" s="3" t="s">
        <v>10</v>
      </c>
      <c r="C11" s="3" t="s">
        <v>25</v>
      </c>
      <c r="D11" s="3" t="s">
        <v>26</v>
      </c>
      <c r="E11" s="4">
        <f>IFERROR(__xludf.DUMMYFUNCTION("IF(
  C11="""","""",
  COUNTIF(
    ARRAYFORMULA(
      TRIM(
        SUBSTITUTE(
          SUBSTITUTE(
            SUBSTITUTE(
              SUBSTITUTE(
                SUBSTITUTE(
                  SPLIT( FLATTEN( SUBSTITUTE(template!A18:A107, CHAR(10),"&amp;" ""|"") ), ""|"" ),
                  CHAR(160),"" ""
                ),
                CHAR(8239),"" ""
              ),
              CHAR(8203),""""
            ),
            CHAR(8211),""-""
          ),
          CHAR(8212),""-""
        )
      )
"&amp;"    ),
    TRIM(
      SUBSTITUTE(
        SUBSTITUTE(
          SUBSTITUTE(
            SUBSTITUTE(
              SUBSTITUTE( TO_TEXT(C11), CHAR(160),"" "" ),
              CHAR(8239),"" ""
            ),
            CHAR(8203),""""
          ),
        "&amp;"  CHAR(8211),""-""
        ),
        CHAR(8212),""-""
      )
    )
  )
)
"),0.0)</f>
        <v>0</v>
      </c>
    </row>
    <row r="12">
      <c r="A12" s="3" t="s">
        <v>9</v>
      </c>
      <c r="B12" s="3" t="s">
        <v>10</v>
      </c>
      <c r="C12" s="3" t="s">
        <v>27</v>
      </c>
      <c r="D12" s="3" t="s">
        <v>28</v>
      </c>
      <c r="E12" s="4">
        <f>IFERROR(__xludf.DUMMYFUNCTION("IF(
  C12="""","""",
  COUNTIF(
    ARRAYFORMULA(
      TRIM(
        SUBSTITUTE(
          SUBSTITUTE(
            SUBSTITUTE(
              SUBSTITUTE(
                SUBSTITUTE(
                  SPLIT( FLATTEN( SUBSTITUTE(template!A19:A108, CHAR(10),"&amp;" ""|"") ), ""|"" ),
                  CHAR(160),"" ""
                ),
                CHAR(8239),"" ""
              ),
              CHAR(8203),""""
            ),
            CHAR(8211),""-""
          ),
          CHAR(8212),""-""
        )
      )
"&amp;"    ),
    TRIM(
      SUBSTITUTE(
        SUBSTITUTE(
          SUBSTITUTE(
            SUBSTITUTE(
              SUBSTITUTE( TO_TEXT(C12), CHAR(160),"" "" ),
              CHAR(8239),"" ""
            ),
            CHAR(8203),""""
          ),
        "&amp;"  CHAR(8211),""-""
        ),
        CHAR(8212),""-""
      )
    )
  )
)
"),0.0)</f>
        <v>0</v>
      </c>
    </row>
    <row r="13">
      <c r="A13" s="3" t="s">
        <v>9</v>
      </c>
      <c r="B13" s="3" t="s">
        <v>10</v>
      </c>
      <c r="C13" s="3" t="s">
        <v>29</v>
      </c>
      <c r="D13" s="3" t="s">
        <v>30</v>
      </c>
      <c r="E13" s="4">
        <f>IFERROR(__xludf.DUMMYFUNCTION("IF(
  C13="""","""",
  COUNTIF(
    ARRAYFORMULA(
      TRIM(
        SUBSTITUTE(
          SUBSTITUTE(
            SUBSTITUTE(
              SUBSTITUTE(
                SUBSTITUTE(
                  SPLIT( FLATTEN( SUBSTITUTE(template!A20:A109, CHAR(10),"&amp;" ""|"") ), ""|"" ),
                  CHAR(160),"" ""
                ),
                CHAR(8239),"" ""
              ),
              CHAR(8203),""""
            ),
            CHAR(8211),""-""
          ),
          CHAR(8212),""-""
        )
      )
"&amp;"    ),
    TRIM(
      SUBSTITUTE(
        SUBSTITUTE(
          SUBSTITUTE(
            SUBSTITUTE(
              SUBSTITUTE( TO_TEXT(C13), CHAR(160),"" "" ),
              CHAR(8239),"" ""
            ),
            CHAR(8203),""""
          ),
        "&amp;"  CHAR(8211),""-""
        ),
        CHAR(8212),""-""
      )
    )
  )
)
"),0.0)</f>
        <v>0</v>
      </c>
    </row>
    <row r="14">
      <c r="A14" s="3" t="s">
        <v>9</v>
      </c>
      <c r="B14" s="3" t="s">
        <v>31</v>
      </c>
      <c r="C14" s="3" t="s">
        <v>32</v>
      </c>
      <c r="D14" s="3" t="s">
        <v>33</v>
      </c>
      <c r="E14" s="4">
        <f>IFERROR(__xludf.DUMMYFUNCTION("IF(
  C14="""","""",
  COUNTIF(
    ARRAYFORMULA(
      TRIM(
        SUBSTITUTE(
          SUBSTITUTE(
            SUBSTITUTE(
              SUBSTITUTE(
                SUBSTITUTE(
                  SPLIT( FLATTEN( SUBSTITUTE(template!A21:A110, CHAR(10),"&amp;" ""|"") ), ""|"" ),
                  CHAR(160),"" ""
                ),
                CHAR(8239),"" ""
              ),
              CHAR(8203),""""
            ),
            CHAR(8211),""-""
          ),
          CHAR(8212),""-""
        )
      )
"&amp;"    ),
    TRIM(
      SUBSTITUTE(
        SUBSTITUTE(
          SUBSTITUTE(
            SUBSTITUTE(
              SUBSTITUTE( TO_TEXT(C14), CHAR(160),"" "" ),
              CHAR(8239),"" ""
            ),
            CHAR(8203),""""
          ),
        "&amp;"  CHAR(8211),""-""
        ),
        CHAR(8212),""-""
      )
    )
  )
)
"),0.0)</f>
        <v>0</v>
      </c>
    </row>
    <row r="15">
      <c r="A15" s="3" t="s">
        <v>9</v>
      </c>
      <c r="B15" s="3" t="s">
        <v>34</v>
      </c>
      <c r="C15" s="3" t="s">
        <v>35</v>
      </c>
      <c r="D15" s="3" t="s">
        <v>36</v>
      </c>
      <c r="E15" s="4">
        <f>IFERROR(__xludf.DUMMYFUNCTION("IF(
  C15="""","""",
  COUNTIF(
    ARRAYFORMULA(
      TRIM(
        SUBSTITUTE(
          SUBSTITUTE(
            SUBSTITUTE(
              SUBSTITUTE(
                SUBSTITUTE(
                  SPLIT( FLATTEN( SUBSTITUTE(template!A22:A111, CHAR(10),"&amp;" ""|"") ), ""|"" ),
                  CHAR(160),"" ""
                ),
                CHAR(8239),"" ""
              ),
              CHAR(8203),""""
            ),
            CHAR(8211),""-""
          ),
          CHAR(8212),""-""
        )
      )
"&amp;"    ),
    TRIM(
      SUBSTITUTE(
        SUBSTITUTE(
          SUBSTITUTE(
            SUBSTITUTE(
              SUBSTITUTE( TO_TEXT(C15), CHAR(160),"" "" ),
              CHAR(8239),"" ""
            ),
            CHAR(8203),""""
          ),
        "&amp;"  CHAR(8211),""-""
        ),
        CHAR(8212),""-""
      )
    )
  )
)
"),0.0)</f>
        <v>0</v>
      </c>
    </row>
    <row r="16">
      <c r="A16" s="3" t="s">
        <v>9</v>
      </c>
      <c r="B16" s="3" t="s">
        <v>34</v>
      </c>
      <c r="C16" s="3" t="s">
        <v>37</v>
      </c>
      <c r="D16" s="3" t="s">
        <v>38</v>
      </c>
      <c r="E16" s="4">
        <f>IFERROR(__xludf.DUMMYFUNCTION("IF(
  C16="""","""",
  COUNTIF(
    ARRAYFORMULA(
      TRIM(
        SUBSTITUTE(
          SUBSTITUTE(
            SUBSTITUTE(
              SUBSTITUTE(
                SUBSTITUTE(
                  SPLIT( FLATTEN( SUBSTITUTE(template!A23:A112, CHAR(10),"&amp;" ""|"") ), ""|"" ),
                  CHAR(160),"" ""
                ),
                CHAR(8239),"" ""
              ),
              CHAR(8203),""""
            ),
            CHAR(8211),""-""
          ),
          CHAR(8212),""-""
        )
      )
"&amp;"    ),
    TRIM(
      SUBSTITUTE(
        SUBSTITUTE(
          SUBSTITUTE(
            SUBSTITUTE(
              SUBSTITUTE( TO_TEXT(C16), CHAR(160),"" "" ),
              CHAR(8239),"" ""
            ),
            CHAR(8203),""""
          ),
        "&amp;"  CHAR(8211),""-""
        ),
        CHAR(8212),""-""
      )
    )
  )
)
"),0.0)</f>
        <v>0</v>
      </c>
    </row>
    <row r="17">
      <c r="A17" s="3" t="s">
        <v>9</v>
      </c>
      <c r="B17" s="3" t="s">
        <v>34</v>
      </c>
      <c r="C17" s="3" t="s">
        <v>39</v>
      </c>
      <c r="D17" s="3" t="s">
        <v>40</v>
      </c>
      <c r="E17" s="4">
        <f>IFERROR(__xludf.DUMMYFUNCTION("IF(
  C17="""","""",
  COUNTIF(
    ARRAYFORMULA(
      TRIM(
        SUBSTITUTE(
          SUBSTITUTE(
            SUBSTITUTE(
              SUBSTITUTE(
                SUBSTITUTE(
                  SPLIT( FLATTEN( SUBSTITUTE(template!A24:A113, CHAR(10),"&amp;" ""|"") ), ""|"" ),
                  CHAR(160),"" ""
                ),
                CHAR(8239),"" ""
              ),
              CHAR(8203),""""
            ),
            CHAR(8211),""-""
          ),
          CHAR(8212),""-""
        )
      )
"&amp;"    ),
    TRIM(
      SUBSTITUTE(
        SUBSTITUTE(
          SUBSTITUTE(
            SUBSTITUTE(
              SUBSTITUTE( TO_TEXT(C17), CHAR(160),"" "" ),
              CHAR(8239),"" ""
            ),
            CHAR(8203),""""
          ),
        "&amp;"  CHAR(8211),""-""
        ),
        CHAR(8212),""-""
      )
    )
  )
)
"),0.0)</f>
        <v>0</v>
      </c>
    </row>
    <row r="18">
      <c r="A18" s="3" t="s">
        <v>9</v>
      </c>
      <c r="B18" s="3" t="s">
        <v>34</v>
      </c>
      <c r="C18" s="3" t="s">
        <v>41</v>
      </c>
      <c r="D18" s="3" t="s">
        <v>42</v>
      </c>
      <c r="E18" s="4">
        <f>IFERROR(__xludf.DUMMYFUNCTION("IF(
  C18="""","""",
  COUNTIF(
    ARRAYFORMULA(
      TRIM(
        SUBSTITUTE(
          SUBSTITUTE(
            SUBSTITUTE(
              SUBSTITUTE(
                SUBSTITUTE(
                  SPLIT( FLATTEN( SUBSTITUTE(template!A25:A114, CHAR(10),"&amp;" ""|"") ), ""|"" ),
                  CHAR(160),"" ""
                ),
                CHAR(8239),"" ""
              ),
              CHAR(8203),""""
            ),
            CHAR(8211),""-""
          ),
          CHAR(8212),""-""
        )
      )
"&amp;"    ),
    TRIM(
      SUBSTITUTE(
        SUBSTITUTE(
          SUBSTITUTE(
            SUBSTITUTE(
              SUBSTITUTE( TO_TEXT(C18), CHAR(160),"" "" ),
              CHAR(8239),"" ""
            ),
            CHAR(8203),""""
          ),
        "&amp;"  CHAR(8211),""-""
        ),
        CHAR(8212),""-""
      )
    )
  )
)
"),0.0)</f>
        <v>0</v>
      </c>
    </row>
    <row r="19">
      <c r="A19" s="3" t="s">
        <v>9</v>
      </c>
      <c r="B19" s="3" t="s">
        <v>34</v>
      </c>
      <c r="C19" s="3" t="s">
        <v>43</v>
      </c>
      <c r="D19" s="3" t="s">
        <v>44</v>
      </c>
      <c r="E19" s="4">
        <f>IFERROR(__xludf.DUMMYFUNCTION("IF(
  C19="""","""",
  COUNTIF(
    ARRAYFORMULA(
      TRIM(
        SUBSTITUTE(
          SUBSTITUTE(
            SUBSTITUTE(
              SUBSTITUTE(
                SUBSTITUTE(
                  SPLIT( FLATTEN( SUBSTITUTE(template!A26:A115, CHAR(10),"&amp;" ""|"") ), ""|"" ),
                  CHAR(160),"" ""
                ),
                CHAR(8239),"" ""
              ),
              CHAR(8203),""""
            ),
            CHAR(8211),""-""
          ),
          CHAR(8212),""-""
        )
      )
"&amp;"    ),
    TRIM(
      SUBSTITUTE(
        SUBSTITUTE(
          SUBSTITUTE(
            SUBSTITUTE(
              SUBSTITUTE( TO_TEXT(C19), CHAR(160),"" "" ),
              CHAR(8239),"" ""
            ),
            CHAR(8203),""""
          ),
        "&amp;"  CHAR(8211),""-""
        ),
        CHAR(8212),""-""
      )
    )
  )
)
"),0.0)</f>
        <v>0</v>
      </c>
    </row>
    <row r="20">
      <c r="A20" s="3" t="s">
        <v>9</v>
      </c>
      <c r="B20" s="3" t="s">
        <v>45</v>
      </c>
      <c r="C20" s="3" t="s">
        <v>46</v>
      </c>
      <c r="D20" s="3" t="s">
        <v>47</v>
      </c>
      <c r="E20" s="4">
        <f>IFERROR(__xludf.DUMMYFUNCTION("IF(
  C20="""","""",
  N(
    COUNTIF(
      ARRAYFORMULA( TRIM( SUBSTITUTE( SPLIT( TO_TEXT(template!A27), CHAR(10) ), CHAR(160), "" "" ) ) ),
      TRIM( SUBSTITUTE( TO_TEXT(C20), CHAR(160), "" "" ) )
    )&gt;0
  )
)
"),0.0)</f>
        <v>0</v>
      </c>
    </row>
    <row r="21">
      <c r="A21" s="3" t="s">
        <v>9</v>
      </c>
      <c r="B21" s="3" t="s">
        <v>45</v>
      </c>
      <c r="C21" s="3" t="s">
        <v>48</v>
      </c>
      <c r="D21" s="3" t="s">
        <v>49</v>
      </c>
      <c r="E21" s="4">
        <f>IFERROR(__xludf.DUMMYFUNCTION("IF(
  C21="""","""",
  N(
    COUNTIF(
      ARRAYFORMULA( TRIM( SUBSTITUTE( SPLIT( TO_TEXT(template!A28), CHAR(10) ), CHAR(160), "" "" ) ) ),
      TRIM( SUBSTITUTE( TO_TEXT(C21), CHAR(160), "" "" ) )
    )&gt;0
  )
)
"),0.0)</f>
        <v>0</v>
      </c>
    </row>
    <row r="22">
      <c r="A22" s="3" t="s">
        <v>9</v>
      </c>
      <c r="B22" s="3" t="s">
        <v>45</v>
      </c>
      <c r="C22" s="3" t="s">
        <v>50</v>
      </c>
      <c r="D22" s="3" t="s">
        <v>51</v>
      </c>
      <c r="E22" s="4">
        <f>IFERROR(__xludf.DUMMYFUNCTION("IF(
  C22="""","""",
  N(
    COUNTIF(
      ARRAYFORMULA( TRIM( SUBSTITUTE( SPLIT( TO_TEXT(template!A29), CHAR(10) ), CHAR(160), "" "" ) ) ),
      TRIM( SUBSTITUTE( TO_TEXT(C22), CHAR(160), "" "" ) )
    )&gt;0
  )
)
"),0.0)</f>
        <v>0</v>
      </c>
    </row>
    <row r="23">
      <c r="A23" s="3" t="s">
        <v>9</v>
      </c>
      <c r="B23" s="3" t="s">
        <v>45</v>
      </c>
      <c r="C23" s="3" t="s">
        <v>52</v>
      </c>
      <c r="D23" s="3" t="s">
        <v>53</v>
      </c>
      <c r="E23" s="4">
        <f>IFERROR(__xludf.DUMMYFUNCTION("IF(
  C23="""",
  """",
  N(
    COUNTIF(
      SPLIT(SUBSTITUIR(template!A30,CHAR(10),"",""),"",""),
      C23
    )&gt;0
  )
)
"),0.0)</f>
        <v>0</v>
      </c>
    </row>
    <row r="24">
      <c r="A24" s="3" t="s">
        <v>54</v>
      </c>
      <c r="B24" s="3" t="s">
        <v>55</v>
      </c>
      <c r="C24" s="3" t="s">
        <v>56</v>
      </c>
      <c r="D24" s="3" t="s">
        <v>57</v>
      </c>
      <c r="E24" s="4">
        <f>IFERROR(__xludf.DUMMYFUNCTION("IF(
  C24="""",
  """",
  N(
    COUNTIF(
      SPLIT(SUBSTITUIR(template!A31,CHAR(10),"",""),"",""),
      C24
    )&gt;0
  )
)
"),0.0)</f>
        <v>0</v>
      </c>
    </row>
    <row r="25">
      <c r="A25" s="3" t="s">
        <v>54</v>
      </c>
      <c r="B25" s="3" t="s">
        <v>55</v>
      </c>
      <c r="C25" s="3" t="s">
        <v>58</v>
      </c>
      <c r="D25" s="3" t="s">
        <v>59</v>
      </c>
      <c r="E25" s="4">
        <f>IFERROR(__xludf.DUMMYFUNCTION("IF(
  C25="""",
  """",
  N(
    COUNTIF(
      SPLIT(SUBSTITUIR(template!A32,CHAR(10),"",""),"",""),
      C25
    )&gt;0
  )
)
"),0.0)</f>
        <v>0</v>
      </c>
    </row>
    <row r="26">
      <c r="A26" s="3" t="s">
        <v>54</v>
      </c>
      <c r="B26" s="3" t="s">
        <v>55</v>
      </c>
      <c r="C26" s="3" t="s">
        <v>60</v>
      </c>
      <c r="D26" s="3" t="s">
        <v>61</v>
      </c>
      <c r="E26" s="4">
        <f>IFERROR(__xludf.DUMMYFUNCTION("IF(
  C26="""",
  """",
  N(
    COUNTIF(
      SPLIT(SUBSTITUIR(template!A33,CHAR(10),"",""),"",""),
      C26
    )&gt;0
  )
)
"),0.0)</f>
        <v>0</v>
      </c>
    </row>
    <row r="27">
      <c r="A27" s="3" t="s">
        <v>54</v>
      </c>
      <c r="B27" s="3" t="s">
        <v>62</v>
      </c>
      <c r="C27" s="3" t="s">
        <v>63</v>
      </c>
      <c r="D27" s="3" t="s">
        <v>64</v>
      </c>
      <c r="E27" s="4">
        <f>IFERROR(__xludf.DUMMYFUNCTION("IF(
  C27="""",
  """",
  N(
    COUNTIF(
      SPLIT(SUBSTITUIR(template!A34,CHAR(10),"",""),"",""),
      C27
    )&gt;0
  )
)
"),0.0)</f>
        <v>0</v>
      </c>
    </row>
    <row r="28">
      <c r="A28" s="3" t="s">
        <v>54</v>
      </c>
      <c r="B28" s="3" t="s">
        <v>65</v>
      </c>
      <c r="C28" s="3" t="s">
        <v>66</v>
      </c>
      <c r="D28" s="3" t="s">
        <v>67</v>
      </c>
      <c r="E28" s="4">
        <f>IFERROR(__xludf.DUMMYFUNCTION("IF(
  C28="""",
  """",
  N(
    COUNTIF(
      SPLIT(SUBSTITUIR(template!A35,CHAR(10),"",""),"",""),
      C28
    )&gt;0
  )
)
"),0.0)</f>
        <v>0</v>
      </c>
    </row>
    <row r="29">
      <c r="A29" s="3" t="s">
        <v>54</v>
      </c>
      <c r="B29" s="3" t="s">
        <v>65</v>
      </c>
      <c r="C29" s="3" t="s">
        <v>68</v>
      </c>
      <c r="D29" s="3" t="s">
        <v>69</v>
      </c>
      <c r="E29" s="4">
        <f>IFERROR(__xludf.DUMMYFUNCTION("IF(
  C29="""",
  """",
  N(
    COUNTIF(
      SPLIT(SUBSTITUIR(template!A36,CHAR(10),"",""),"",""),
      C29
    )&gt;0
  )
)
"),0.0)</f>
        <v>0</v>
      </c>
    </row>
    <row r="30">
      <c r="A30" s="3" t="s">
        <v>54</v>
      </c>
      <c r="B30" s="3" t="s">
        <v>65</v>
      </c>
      <c r="C30" s="3" t="s">
        <v>70</v>
      </c>
      <c r="D30" s="3" t="s">
        <v>71</v>
      </c>
      <c r="E30" s="4">
        <f>IFERROR(__xludf.DUMMYFUNCTION("IF(
  C30="""",
  """",
  N(
    COUNTIF(
      SPLIT(SUBSTITUIR(template!A37,CHAR(10),"",""),"",""),
      C30
    )&gt;0
  )
)
"),0.0)</f>
        <v>0</v>
      </c>
    </row>
    <row r="31">
      <c r="A31" s="3" t="s">
        <v>54</v>
      </c>
      <c r="B31" s="3" t="s">
        <v>65</v>
      </c>
      <c r="C31" s="3" t="s">
        <v>72</v>
      </c>
      <c r="D31" s="3" t="s">
        <v>73</v>
      </c>
      <c r="E31" s="4">
        <f>IFERROR(__xludf.DUMMYFUNCTION("IF(
  C31="""",
  """",
  N(
    COUNTIF(
      SPLIT(SUBSTITUIR(template!A38,CHAR(10),"",""),"",""),
      C31
    )&gt;0
  )
)
"),0.0)</f>
        <v>0</v>
      </c>
    </row>
    <row r="32">
      <c r="A32" s="3" t="s">
        <v>54</v>
      </c>
      <c r="B32" s="3" t="s">
        <v>74</v>
      </c>
      <c r="C32" s="3" t="s">
        <v>75</v>
      </c>
      <c r="D32" s="3" t="s">
        <v>76</v>
      </c>
      <c r="E32" s="4">
        <f>IFERROR(__xludf.DUMMYFUNCTION("IF(
  C32="""",
  """",
  N(
    COUNTIF(
      SPLIT(SUBSTITUIR(template!A39,CHAR(10),"",""),"",""),
      C32
    )&gt;0
  )
)
"),0.0)</f>
        <v>0</v>
      </c>
    </row>
    <row r="33">
      <c r="A33" s="3" t="s">
        <v>54</v>
      </c>
      <c r="B33" s="3" t="s">
        <v>74</v>
      </c>
      <c r="C33" s="3" t="s">
        <v>77</v>
      </c>
      <c r="D33" s="3" t="s">
        <v>78</v>
      </c>
      <c r="E33" s="4">
        <f>IFERROR(__xludf.DUMMYFUNCTION("IF(
  C33="""",
  """",
  N(
    COUNTIF(
      SPLIT(SUBSTITUIR(template!A40,CHAR(10),"",""),"",""),
      C33
    )&gt;0
  )
)
"),0.0)</f>
        <v>0</v>
      </c>
    </row>
    <row r="34">
      <c r="A34" s="3" t="s">
        <v>54</v>
      </c>
      <c r="B34" s="3" t="s">
        <v>79</v>
      </c>
      <c r="C34" s="3" t="s">
        <v>80</v>
      </c>
      <c r="D34" s="3" t="s">
        <v>81</v>
      </c>
      <c r="E34" s="4">
        <f>IFERROR(__xludf.DUMMYFUNCTION("IF(
  C34="""",
  """",
  N(
    COUNTIF(
      SPLIT(SUBSTITUIR(template!A41,CHAR(10),"",""),"",""),
      C34
    )&gt;0
  )
)
"),0.0)</f>
        <v>0</v>
      </c>
    </row>
    <row r="35">
      <c r="A35" s="3" t="s">
        <v>54</v>
      </c>
      <c r="B35" s="3" t="s">
        <v>82</v>
      </c>
      <c r="C35" s="3" t="s">
        <v>83</v>
      </c>
      <c r="D35" s="3" t="s">
        <v>81</v>
      </c>
      <c r="E35" s="4">
        <f>IFERROR(__xludf.DUMMYFUNCTION("IF(
  C35="""",
  """",
  N(
    COUNTIF(
      SPLIT(SUBSTITUIR(template!A42,CHAR(10),"",""),"",""),
      C35
    )&gt;0
  )
)
"),0.0)</f>
        <v>0</v>
      </c>
    </row>
    <row r="36">
      <c r="A36" s="3" t="s">
        <v>54</v>
      </c>
      <c r="B36" s="3" t="s">
        <v>82</v>
      </c>
      <c r="C36" s="3" t="s">
        <v>84</v>
      </c>
      <c r="D36" s="3" t="s">
        <v>85</v>
      </c>
      <c r="E36" s="4">
        <f>IFERROR(__xludf.DUMMYFUNCTION("IF(
  C36="""",
  """",
  N(
    COUNTIF(
      SPLIT(SUBSTITUIR(template!A43,CHAR(10),"",""),"",""),
      C36
    )&gt;0
  )
)
"),0.0)</f>
        <v>0</v>
      </c>
    </row>
    <row r="37">
      <c r="A37" s="3" t="s">
        <v>86</v>
      </c>
      <c r="B37" s="3" t="s">
        <v>87</v>
      </c>
      <c r="C37" s="3" t="s">
        <v>88</v>
      </c>
      <c r="D37" s="3" t="s">
        <v>89</v>
      </c>
      <c r="E37" s="4">
        <f>IFERROR(__xludf.DUMMYFUNCTION("IF(
  C37="""",
  """",
  N(
    COUNTIF(
      SPLIT(SUBSTITUIR(template!A44,CHAR(10),"",""),"",""),
      C37
    )&gt;0
  )
)
"),0.0)</f>
        <v>0</v>
      </c>
    </row>
    <row r="38">
      <c r="A38" s="3" t="s">
        <v>86</v>
      </c>
      <c r="B38" s="3" t="s">
        <v>87</v>
      </c>
      <c r="C38" s="3" t="s">
        <v>90</v>
      </c>
      <c r="D38" s="3" t="s">
        <v>91</v>
      </c>
      <c r="E38" s="4">
        <f>IFERROR(__xludf.DUMMYFUNCTION("IF(
  C38="""",
  """",
  N(
    COUNTIF(
      SPLIT(SUBSTITUIR(template!A45,CHAR(10),"",""),"",""),
      C38
    )&gt;0
  )
)
"),0.0)</f>
        <v>0</v>
      </c>
    </row>
    <row r="39">
      <c r="A39" s="3" t="s">
        <v>86</v>
      </c>
      <c r="B39" s="3" t="s">
        <v>87</v>
      </c>
      <c r="C39" s="3" t="s">
        <v>92</v>
      </c>
      <c r="D39" s="3" t="s">
        <v>93</v>
      </c>
      <c r="E39" s="4">
        <f>IFERROR(__xludf.DUMMYFUNCTION("IF(
  C39="""",
  """",
  N(
    COUNTIF(
      SPLIT(SUBSTITUIR(template!A46,CHAR(10),"",""),"",""),
      C39
    )&gt;0
  )
)
"),0.0)</f>
        <v>0</v>
      </c>
    </row>
    <row r="40">
      <c r="A40" s="3" t="s">
        <v>86</v>
      </c>
      <c r="B40" s="3" t="s">
        <v>87</v>
      </c>
      <c r="C40" s="3" t="s">
        <v>94</v>
      </c>
      <c r="D40" s="3" t="s">
        <v>93</v>
      </c>
      <c r="E40" s="4">
        <f>IFERROR(__xludf.DUMMYFUNCTION("IF(
  C40="""",
  """",
  N(
    COUNTIF(
      SPLIT(SUBSTITUIR(template!A47,CHAR(10),"",""),"",""),
      C40
    )&gt;0
  )
)
"),0.0)</f>
        <v>0</v>
      </c>
    </row>
    <row r="41">
      <c r="A41" s="3" t="s">
        <v>86</v>
      </c>
      <c r="B41" s="3" t="s">
        <v>87</v>
      </c>
      <c r="C41" s="3" t="s">
        <v>95</v>
      </c>
      <c r="D41" s="3" t="s">
        <v>96</v>
      </c>
      <c r="E41" s="4">
        <f>IFERROR(__xludf.DUMMYFUNCTION("IF(
  C41="""",
  """",
  N(
    COUNTIF(
      SPLIT(SUBSTITUIR(template!A48,CHAR(10),"",""),"",""),
      C41
    )&gt;0
  )
)
"),0.0)</f>
        <v>0</v>
      </c>
    </row>
    <row r="42">
      <c r="A42" s="3" t="s">
        <v>86</v>
      </c>
      <c r="B42" s="3" t="s">
        <v>87</v>
      </c>
      <c r="C42" s="3" t="s">
        <v>97</v>
      </c>
      <c r="D42" s="3" t="s">
        <v>98</v>
      </c>
      <c r="E42" s="4">
        <f>IFERROR(__xludf.DUMMYFUNCTION("IF(
  C42="""",
  """",
  N(
    COUNTIF(
      SPLIT(SUBSTITUIR(template!A49,CHAR(10),"",""),"",""),
      C42
    )&gt;0
  )
)
"),0.0)</f>
        <v>0</v>
      </c>
    </row>
    <row r="43">
      <c r="A43" s="3" t="s">
        <v>86</v>
      </c>
      <c r="B43" s="3" t="s">
        <v>87</v>
      </c>
      <c r="C43" s="3" t="s">
        <v>99</v>
      </c>
      <c r="D43" s="3" t="s">
        <v>100</v>
      </c>
      <c r="E43" s="4">
        <f>IFERROR(__xludf.DUMMYFUNCTION("IF(
  C43="""",
  """",
  N(
    COUNTIF(
      SPLIT(SUBSTITUIR(template!A50,CHAR(10),"",""),"",""),
      C43
    )&gt;0
  )
)
"),0.0)</f>
        <v>0</v>
      </c>
    </row>
    <row r="44">
      <c r="A44" s="3" t="s">
        <v>86</v>
      </c>
      <c r="B44" s="3" t="s">
        <v>101</v>
      </c>
      <c r="C44" s="3" t="s">
        <v>88</v>
      </c>
      <c r="D44" s="3" t="s">
        <v>102</v>
      </c>
      <c r="E44" s="4">
        <f>IFERROR(__xludf.DUMMYFUNCTION("IF(
  C44="""",
  """",
  N(
    COUNTIF(
      SPLIT(SUBSTITUIR(template!A51,CHAR(10),"",""),"",""),
      C44
    )&gt;0
  )
)
"),0.0)</f>
        <v>0</v>
      </c>
    </row>
    <row r="45">
      <c r="A45" s="3" t="s">
        <v>86</v>
      </c>
      <c r="B45" s="3" t="s">
        <v>101</v>
      </c>
      <c r="C45" s="3" t="s">
        <v>103</v>
      </c>
      <c r="D45" s="3" t="s">
        <v>104</v>
      </c>
      <c r="E45" s="4">
        <f>IFERROR(__xludf.DUMMYFUNCTION("IF(
  C45="""",
  """",
  N(
    COUNTIF(
      SPLIT(SUBSTITUIR(template!A52,CHAR(10),"",""),"",""),
      C45
    )&gt;0
  )
)
"),0.0)</f>
        <v>0</v>
      </c>
    </row>
    <row r="46">
      <c r="A46" s="3" t="s">
        <v>86</v>
      </c>
      <c r="B46" s="3" t="s">
        <v>101</v>
      </c>
      <c r="C46" s="3" t="s">
        <v>105</v>
      </c>
      <c r="D46" s="3" t="s">
        <v>106</v>
      </c>
      <c r="E46" s="4">
        <f>IFERROR(__xludf.DUMMYFUNCTION("IF(
  C46="""",
  """",
  N(
    COUNTIF(
      SPLIT(SUBSTITUIR(template!A53,CHAR(10),"",""),"",""),
      C46
    )&gt;0
  )
)
"),0.0)</f>
        <v>0</v>
      </c>
    </row>
    <row r="47">
      <c r="A47" s="3" t="s">
        <v>86</v>
      </c>
      <c r="B47" s="3" t="s">
        <v>101</v>
      </c>
      <c r="C47" s="3" t="s">
        <v>107</v>
      </c>
      <c r="D47" s="3" t="s">
        <v>108</v>
      </c>
      <c r="E47" s="4">
        <f>IFERROR(__xludf.DUMMYFUNCTION("IF(
  C47="""",
  """",
  N(
    COUNTIF(
      SPLIT(SUBSTITUIR(template!A54,CHAR(10),"",""),"",""),
      C47
    )&gt;0
  )
)
"),0.0)</f>
        <v>0</v>
      </c>
    </row>
    <row r="48">
      <c r="A48" s="3" t="s">
        <v>86</v>
      </c>
      <c r="B48" s="3" t="s">
        <v>109</v>
      </c>
      <c r="C48" s="3" t="s">
        <v>110</v>
      </c>
      <c r="D48" s="3" t="s">
        <v>111</v>
      </c>
      <c r="E48" s="4">
        <f>IFERROR(__xludf.DUMMYFUNCTION("IF(
  C48="""",
  """",
  N(
    COUNTIF(
      SPLIT(SUBSTITUIR(template!A55,CHAR(10),"",""),"",""),
      C48
    )&gt;0
  )
)
"),0.0)</f>
        <v>0</v>
      </c>
    </row>
    <row r="49">
      <c r="A49" s="3" t="s">
        <v>86</v>
      </c>
      <c r="B49" s="3" t="s">
        <v>109</v>
      </c>
      <c r="C49" s="3" t="s">
        <v>112</v>
      </c>
      <c r="D49" s="3" t="s">
        <v>113</v>
      </c>
      <c r="E49" s="4">
        <f>IFERROR(__xludf.DUMMYFUNCTION("IF(
  C49="""",
  """",
  N(
    COUNTIF(
      SPLIT(SUBSTITUIR(template!A56,CHAR(10),"",""),"",""),
      C49
    )&gt;0
  )
)
"),0.0)</f>
        <v>0</v>
      </c>
    </row>
    <row r="50">
      <c r="A50" s="3" t="s">
        <v>114</v>
      </c>
      <c r="B50" s="3" t="s">
        <v>115</v>
      </c>
      <c r="C50" s="3" t="s">
        <v>116</v>
      </c>
      <c r="D50" s="3" t="s">
        <v>117</v>
      </c>
      <c r="E50" s="4">
        <f>IFERROR(__xludf.DUMMYFUNCTION("IF(
  C50="""",
  """",
  N(
    COUNTIF(
      SPLIT(SUBSTITUIR(template!A57,CHAR(10),"",""),"",""),
      C50
    )&gt;0
  )
)
"),0.0)</f>
        <v>0</v>
      </c>
    </row>
    <row r="51">
      <c r="A51" s="3" t="s">
        <v>114</v>
      </c>
      <c r="B51" s="3" t="s">
        <v>115</v>
      </c>
      <c r="C51" s="3" t="s">
        <v>118</v>
      </c>
      <c r="D51" s="3" t="s">
        <v>119</v>
      </c>
      <c r="E51" s="4">
        <f>IFERROR(__xludf.DUMMYFUNCTION("IF(
  C51="""",
  """",
  N(
    COUNTIF(
      SPLIT(SUBSTITUIR(template!A58,CHAR(10),"",""),"",""),
      C51
    )&gt;0
  )
)
"),0.0)</f>
        <v>0</v>
      </c>
    </row>
    <row r="52">
      <c r="A52" s="3" t="s">
        <v>114</v>
      </c>
      <c r="B52" s="3" t="s">
        <v>115</v>
      </c>
      <c r="C52" s="3" t="s">
        <v>120</v>
      </c>
      <c r="D52" s="3" t="s">
        <v>121</v>
      </c>
      <c r="E52" s="4">
        <f>IFERROR(__xludf.DUMMYFUNCTION("IF(
  C52="""",
  """",
  N(
    COUNTIF(
      SPLIT(SUBSTITUIR(template!A59,CHAR(10),"",""),"",""),
      C52
    )&gt;0
  )
)
"),0.0)</f>
        <v>0</v>
      </c>
    </row>
    <row r="53">
      <c r="A53" s="3" t="s">
        <v>114</v>
      </c>
      <c r="B53" s="3" t="s">
        <v>122</v>
      </c>
      <c r="C53" s="3" t="s">
        <v>123</v>
      </c>
      <c r="D53" s="3" t="s">
        <v>124</v>
      </c>
      <c r="E53" s="4">
        <f>IFERROR(__xludf.DUMMYFUNCTION("IF(
  C53="""",
  """",
  N(
    COUNTIF(
      SPLIT(SUBSTITUIR(template!A60,CHAR(10),"",""),"",""),
      C53
    )&gt;0
  )
)
"),0.0)</f>
        <v>0</v>
      </c>
    </row>
    <row r="54">
      <c r="A54" s="3" t="s">
        <v>114</v>
      </c>
      <c r="B54" s="3" t="s">
        <v>122</v>
      </c>
      <c r="C54" s="3" t="s">
        <v>125</v>
      </c>
      <c r="D54" s="3" t="s">
        <v>126</v>
      </c>
      <c r="E54" s="4">
        <f>IFERROR(__xludf.DUMMYFUNCTION("IF(
  C54="""",
  """",
  N(
    COUNTIF(
      SPLIT(SUBSTITUIR(template!A61,CHAR(10),"",""),"",""),
      C54
    )&gt;0
  )
)
"),0.0)</f>
        <v>0</v>
      </c>
    </row>
    <row r="55">
      <c r="A55" s="3" t="s">
        <v>114</v>
      </c>
      <c r="B55" s="3" t="s">
        <v>122</v>
      </c>
      <c r="C55" s="3" t="s">
        <v>127</v>
      </c>
      <c r="D55" s="3" t="s">
        <v>128</v>
      </c>
      <c r="E55" s="4">
        <f>IFERROR(__xludf.DUMMYFUNCTION("IF(
  C55="""",
  """",
  N(
    COUNTIF(
      SPLIT(SUBSTITUIR(template!A62,CHAR(10),"",""),"",""),
      C55
    )&gt;0
  )
)
"),0.0)</f>
        <v>0</v>
      </c>
    </row>
    <row r="56">
      <c r="A56" s="3" t="s">
        <v>114</v>
      </c>
      <c r="B56" s="3" t="s">
        <v>129</v>
      </c>
      <c r="C56" s="3" t="s">
        <v>130</v>
      </c>
      <c r="D56" s="3" t="s">
        <v>93</v>
      </c>
      <c r="E56" s="4">
        <f>IFERROR(__xludf.DUMMYFUNCTION("IF(
  C56="""",
  """",
  N(
    COUNTIF(
      SPLIT(SUBSTITUIR(template!A63,CHAR(10),"",""),"",""),
      C56
    )&gt;0
  )
)
"),0.0)</f>
        <v>0</v>
      </c>
    </row>
    <row r="57">
      <c r="A57" s="3" t="s">
        <v>114</v>
      </c>
      <c r="B57" s="3" t="s">
        <v>129</v>
      </c>
      <c r="C57" s="3" t="s">
        <v>131</v>
      </c>
      <c r="D57" s="3" t="s">
        <v>132</v>
      </c>
      <c r="E57" s="4">
        <f>IFERROR(__xludf.DUMMYFUNCTION("IF(
  C57="""",
  """",
  N(
    COUNTIF(
      SPLIT(SUBSTITUIR(template!A64,CHAR(10),"",""),"",""),
      C57
    )&gt;0
  )
)
"),0.0)</f>
        <v>0</v>
      </c>
    </row>
    <row r="58">
      <c r="A58" s="3" t="s">
        <v>133</v>
      </c>
      <c r="B58" s="3" t="s">
        <v>115</v>
      </c>
      <c r="C58" s="3" t="s">
        <v>134</v>
      </c>
      <c r="D58" s="3" t="s">
        <v>135</v>
      </c>
      <c r="E58" s="4">
        <f>IFERROR(__xludf.DUMMYFUNCTION("IF(
  C58="""",
  """",
  N(
    COUNTIF(
      SPLIT(SUBSTITUIR(template!A65,CHAR(10),"",""),"",""),
      C58
    )&gt;0
  )
)
"),0.0)</f>
        <v>0</v>
      </c>
    </row>
    <row r="59">
      <c r="A59" s="3" t="s">
        <v>133</v>
      </c>
      <c r="B59" s="3" t="s">
        <v>115</v>
      </c>
      <c r="C59" s="3" t="s">
        <v>136</v>
      </c>
      <c r="D59" s="3" t="s">
        <v>137</v>
      </c>
      <c r="E59" s="4">
        <f>IFERROR(__xludf.DUMMYFUNCTION("IF(
  C59="""",
  """",
  N(
    COUNTIF(
      SPLIT(SUBSTITUIR(template!A66,CHAR(10),"",""),"",""),
      C59
    )&gt;0
  )
)
"),0.0)</f>
        <v>0</v>
      </c>
    </row>
    <row r="60">
      <c r="A60" s="3" t="s">
        <v>133</v>
      </c>
      <c r="B60" s="3" t="s">
        <v>115</v>
      </c>
      <c r="C60" s="3" t="s">
        <v>138</v>
      </c>
      <c r="D60" s="3" t="s">
        <v>139</v>
      </c>
      <c r="E60" s="4">
        <f>IFERROR(__xludf.DUMMYFUNCTION("IF(
  C60="""",
  """",
  N(
    COUNTIF(
      SPLIT(SUBSTITUIR(template!A67,CHAR(10),"",""),"",""),
      C60
    )&gt;0
  )
)
"),0.0)</f>
        <v>0</v>
      </c>
    </row>
    <row r="61">
      <c r="A61" s="3" t="s">
        <v>133</v>
      </c>
      <c r="B61" s="3" t="s">
        <v>115</v>
      </c>
      <c r="C61" s="3" t="s">
        <v>140</v>
      </c>
      <c r="D61" s="3" t="s">
        <v>141</v>
      </c>
      <c r="E61" s="4">
        <f>IFERROR(__xludf.DUMMYFUNCTION("IF(
  C61="""",
  """",
  N(
    COUNTIF(
      SPLIT(SUBSTITUIR(template!A68,CHAR(10),"",""),"",""),
      C61
    )&gt;0
  )
)
"),0.0)</f>
        <v>0</v>
      </c>
    </row>
    <row r="62">
      <c r="A62" s="3" t="s">
        <v>133</v>
      </c>
      <c r="B62" s="3" t="s">
        <v>129</v>
      </c>
      <c r="C62" s="3" t="s">
        <v>142</v>
      </c>
      <c r="D62" s="3" t="s">
        <v>143</v>
      </c>
      <c r="E62" s="4">
        <f>IFERROR(__xludf.DUMMYFUNCTION("IF(
  C62="""",
  """",
  N(
    COUNTIF(
      SPLIT(SUBSTITUIR(template!A69,CHAR(10),"",""),"",""),
      C62
    )&gt;0
  )
)
"),0.0)</f>
        <v>0</v>
      </c>
    </row>
    <row r="63">
      <c r="A63" s="3" t="s">
        <v>133</v>
      </c>
      <c r="B63" s="3" t="s">
        <v>129</v>
      </c>
      <c r="C63" s="3" t="s">
        <v>144</v>
      </c>
      <c r="D63" s="3" t="s">
        <v>145</v>
      </c>
      <c r="E63" s="4">
        <f>IFERROR(__xludf.DUMMYFUNCTION("IF(
  C63="""",
  """",
  N(
    COUNTIF(
      SPLIT(SUBSTITUIR(template!A70,CHAR(10),"",""),"",""),
      C63
    )&gt;0
  )
)
"),0.0)</f>
        <v>0</v>
      </c>
    </row>
    <row r="64">
      <c r="A64" s="3" t="s">
        <v>133</v>
      </c>
      <c r="B64" s="3" t="s">
        <v>129</v>
      </c>
      <c r="C64" s="3" t="s">
        <v>146</v>
      </c>
      <c r="D64" s="3" t="s">
        <v>147</v>
      </c>
      <c r="E64" s="4">
        <f>IFERROR(__xludf.DUMMYFUNCTION("IF(
  C64="""",
  """",
  N(
    COUNTIF(
      SPLIT(SUBSTITUIR(template!A71,CHAR(10),"",""),"",""),
      C64
    )&gt;0
  )
)
"),0.0)</f>
        <v>0</v>
      </c>
    </row>
    <row r="65">
      <c r="A65" s="3" t="s">
        <v>133</v>
      </c>
      <c r="B65" s="3" t="s">
        <v>129</v>
      </c>
      <c r="C65" s="3" t="s">
        <v>148</v>
      </c>
      <c r="D65" s="3" t="s">
        <v>149</v>
      </c>
      <c r="E65" s="4">
        <f>IFERROR(__xludf.DUMMYFUNCTION("IF(
  C65="""",
  """",
  N(
    COUNTIF(
      SPLIT(SUBSTITUIR(template!A72,CHAR(10),"",""),"",""),
      C65
    )&gt;0
  )
)
"),0.0)</f>
        <v>0</v>
      </c>
    </row>
    <row r="66">
      <c r="A66" s="3" t="s">
        <v>150</v>
      </c>
      <c r="B66" s="3" t="s">
        <v>151</v>
      </c>
      <c r="C66" s="3" t="s">
        <v>152</v>
      </c>
      <c r="D66" s="3" t="s">
        <v>153</v>
      </c>
      <c r="E66" s="4">
        <f>IFERROR(__xludf.DUMMYFUNCTION("IF(
  C66="""",
  """",
  N(
    COUNTIF(
      SPLIT(SUBSTITUIR(template!A73,CHAR(10),"",""),"",""),
      C66
    )&gt;0
  )
)
"),0.0)</f>
        <v>0</v>
      </c>
    </row>
    <row r="67">
      <c r="A67" s="3" t="s">
        <v>150</v>
      </c>
      <c r="B67" s="3" t="s">
        <v>151</v>
      </c>
      <c r="C67" s="3" t="s">
        <v>154</v>
      </c>
      <c r="D67" s="3" t="s">
        <v>155</v>
      </c>
      <c r="E67" s="4">
        <f>IFERROR(__xludf.DUMMYFUNCTION("IF(
  C67="""",
  """",
  N(
    COUNTIF(
      SPLIT(SUBSTITUIR(template!A74,CHAR(10),"",""),"",""),
      C67
    )&gt;0
  )
)
"),0.0)</f>
        <v>0</v>
      </c>
    </row>
    <row r="68">
      <c r="A68" s="3" t="s">
        <v>150</v>
      </c>
      <c r="B68" s="3" t="s">
        <v>151</v>
      </c>
      <c r="C68" s="3" t="s">
        <v>156</v>
      </c>
      <c r="D68" s="3" t="s">
        <v>157</v>
      </c>
      <c r="E68" s="4">
        <f>IFERROR(__xludf.DUMMYFUNCTION("IF(
  C68="""",
  """",
  N(
    COUNTIF(
      SPLIT(SUBSTITUIR(template!A75,CHAR(10),"",""),"",""),
      C68
    )&gt;0
  )
)
"),0.0)</f>
        <v>0</v>
      </c>
    </row>
    <row r="69">
      <c r="A69" s="3" t="s">
        <v>150</v>
      </c>
      <c r="B69" s="3" t="s">
        <v>158</v>
      </c>
      <c r="C69" s="3" t="s">
        <v>159</v>
      </c>
      <c r="D69" s="3" t="s">
        <v>93</v>
      </c>
      <c r="E69" s="4">
        <f>IFERROR(__xludf.DUMMYFUNCTION("IF(
  C69="""",
  """",
  N(
    COUNTIF(
      SPLIT(SUBSTITUIR(template!A76,CHAR(10),"",""),"",""),
      C69
    )&gt;0
  )
)
"),0.0)</f>
        <v>0</v>
      </c>
    </row>
    <row r="70">
      <c r="A70" s="3" t="s">
        <v>150</v>
      </c>
      <c r="B70" s="3" t="s">
        <v>158</v>
      </c>
      <c r="C70" s="3" t="s">
        <v>160</v>
      </c>
      <c r="D70" s="3" t="s">
        <v>161</v>
      </c>
      <c r="E70" s="4">
        <f>IFERROR(__xludf.DUMMYFUNCTION("IF(
  C70="""",
  """",
  N(
    COUNTIF(
      SPLIT(SUBSTITUIR(template!A77,CHAR(10),"",""),"",""),
      C70
    )&gt;0
  )
)
"),0.0)</f>
        <v>0</v>
      </c>
    </row>
    <row r="71">
      <c r="A71" s="3" t="s">
        <v>150</v>
      </c>
      <c r="B71" s="3" t="s">
        <v>158</v>
      </c>
      <c r="C71" s="3" t="s">
        <v>162</v>
      </c>
      <c r="D71" s="3" t="s">
        <v>163</v>
      </c>
      <c r="E71" s="4">
        <f>IFERROR(__xludf.DUMMYFUNCTION("IF(
  C71="""",
  """",
  N(
    COUNTIF(
      SPLIT(SUBSTITUIR(template!A78,CHAR(10),"",""),"",""),
      C71
    )&gt;0
  )
)
"),0.0)</f>
        <v>0</v>
      </c>
    </row>
    <row r="72">
      <c r="A72" s="3" t="s">
        <v>150</v>
      </c>
      <c r="B72" s="3" t="s">
        <v>164</v>
      </c>
      <c r="C72" s="3" t="s">
        <v>165</v>
      </c>
      <c r="D72" s="3" t="s">
        <v>166</v>
      </c>
      <c r="E72" s="4">
        <f>IFERROR(__xludf.DUMMYFUNCTION("IF(
  C72="""",
  """",
  N(
    COUNTIF(
      SPLIT(SUBSTITUIR(template!A79,CHAR(10),"",""),"",""),
      C72
    )&gt;0
  )
)
"),0.0)</f>
        <v>0</v>
      </c>
    </row>
    <row r="73">
      <c r="A73" s="3" t="s">
        <v>167</v>
      </c>
      <c r="B73" s="3" t="s">
        <v>168</v>
      </c>
      <c r="C73" s="3" t="s">
        <v>169</v>
      </c>
      <c r="D73" s="3" t="s">
        <v>170</v>
      </c>
      <c r="E73" s="4">
        <f>IFERROR(__xludf.DUMMYFUNCTION("IF(
  C73="""",
  """",
  N(
    COUNTIF(
      SPLIT(SUBSTITUIR(template!A80,CHAR(10),"",""),"",""),
      C73
    )&gt;0
  )
)
"),0.0)</f>
        <v>0</v>
      </c>
    </row>
    <row r="74">
      <c r="A74" s="3" t="s">
        <v>167</v>
      </c>
      <c r="B74" s="3" t="s">
        <v>168</v>
      </c>
      <c r="C74" s="3" t="s">
        <v>171</v>
      </c>
      <c r="D74" s="3" t="s">
        <v>172</v>
      </c>
      <c r="E74" s="4">
        <f>IFERROR(__xludf.DUMMYFUNCTION("IF(
  C74="""",
  """",
  N(
    COUNTIF(
      SPLIT(SUBSTITUIR(template!A81,CHAR(10),"",""),"",""),
      C74
    )&gt;0
  )
)
"),0.0)</f>
        <v>0</v>
      </c>
    </row>
    <row r="75">
      <c r="A75" s="3" t="s">
        <v>167</v>
      </c>
      <c r="B75" s="3" t="s">
        <v>168</v>
      </c>
      <c r="C75" s="3" t="s">
        <v>173</v>
      </c>
      <c r="D75" s="3" t="s">
        <v>174</v>
      </c>
      <c r="E75" s="4">
        <f>IFERROR(__xludf.DUMMYFUNCTION("IF(
  C75="""",
  """",
  N(
    COUNTIF(
      SPLIT(SUBSTITUIR(template!A82,CHAR(10),"",""),"",""),
      C75
    )&gt;0
  )
)
"),0.0)</f>
        <v>0</v>
      </c>
    </row>
    <row r="76">
      <c r="A76" s="3" t="s">
        <v>167</v>
      </c>
      <c r="B76" s="3" t="s">
        <v>168</v>
      </c>
      <c r="C76" s="3" t="s">
        <v>175</v>
      </c>
      <c r="D76" s="3" t="s">
        <v>93</v>
      </c>
      <c r="E76" s="4">
        <f>IFERROR(__xludf.DUMMYFUNCTION("IF(
  C76="""",
  """",
  N(
    COUNTIF(
      SPLIT(SUBSTITUIR(template!A83,CHAR(10),"",""),"",""),
      C76
    )&gt;0
  )
)
"),0.0)</f>
        <v>0</v>
      </c>
    </row>
    <row r="77">
      <c r="A77" s="3" t="s">
        <v>167</v>
      </c>
      <c r="B77" s="3" t="s">
        <v>168</v>
      </c>
      <c r="C77" s="3" t="s">
        <v>176</v>
      </c>
      <c r="D77" s="3" t="s">
        <v>177</v>
      </c>
      <c r="E77" s="4">
        <f>IFERROR(__xludf.DUMMYFUNCTION("IF(
  C77="""",
  """",
  N(
    COUNTIF(
      SPLIT(SUBSTITUIR(template!A84,CHAR(10),"",""),"",""),
      C77
    )&gt;0
  )
)
"),0.0)</f>
        <v>0</v>
      </c>
    </row>
    <row r="78">
      <c r="A78" s="3" t="s">
        <v>167</v>
      </c>
      <c r="B78" s="3" t="s">
        <v>178</v>
      </c>
      <c r="C78" s="3" t="s">
        <v>179</v>
      </c>
      <c r="D78" s="3" t="s">
        <v>180</v>
      </c>
      <c r="E78" s="4">
        <f>IFERROR(__xludf.DUMMYFUNCTION("IF(
  C78="""",
  """",
  N(
    COUNTIF(
      SPLIT(SUBSTITUIR(template!A85,CHAR(10),"",""),"",""),
      C78
    )&gt;0
  )
)
"),0.0)</f>
        <v>0</v>
      </c>
    </row>
    <row r="79">
      <c r="A79" s="3" t="s">
        <v>167</v>
      </c>
      <c r="B79" s="3" t="s">
        <v>178</v>
      </c>
      <c r="C79" s="3" t="s">
        <v>181</v>
      </c>
      <c r="D79" s="3" t="s">
        <v>182</v>
      </c>
      <c r="E79" s="4">
        <f>IFERROR(__xludf.DUMMYFUNCTION("IF(
  C79="""",
  """",
  N(
    COUNTIF(
      SPLIT(SUBSTITUIR(template!A86,CHAR(10),"",""),"",""),
      C79
    )&gt;0
  )
)
"),0.0)</f>
        <v>0</v>
      </c>
    </row>
    <row r="80">
      <c r="A80" s="3" t="s">
        <v>167</v>
      </c>
      <c r="B80" s="3" t="s">
        <v>178</v>
      </c>
      <c r="C80" s="3" t="s">
        <v>183</v>
      </c>
      <c r="D80" s="3" t="s">
        <v>184</v>
      </c>
      <c r="E80" s="4">
        <f>IFERROR(__xludf.DUMMYFUNCTION("IF(
  C80="""",
  """",
  N(
    COUNTIF(
      SPLIT(SUBSTITUIR(template!A87,CHAR(10),"",""),"",""),
      C80
    )&gt;0
  )
)
"),0.0)</f>
        <v>0</v>
      </c>
    </row>
    <row r="81">
      <c r="A81" s="3" t="s">
        <v>167</v>
      </c>
      <c r="B81" s="3" t="s">
        <v>178</v>
      </c>
      <c r="C81" s="3" t="s">
        <v>185</v>
      </c>
      <c r="D81" s="3" t="s">
        <v>186</v>
      </c>
      <c r="E81" s="4">
        <f>IFERROR(__xludf.DUMMYFUNCTION("IF(
  C81="""",
  """",
  N(
    COUNTIF(
      SPLIT(SUBSTITUIR(template!A88,CHAR(10),"",""),"",""),
      C81
    )&gt;0
  )
)
"),0.0)</f>
        <v>0</v>
      </c>
    </row>
    <row r="82">
      <c r="A82" s="3" t="s">
        <v>167</v>
      </c>
      <c r="B82" s="3" t="s">
        <v>187</v>
      </c>
      <c r="C82" s="3" t="s">
        <v>188</v>
      </c>
      <c r="D82" s="3" t="s">
        <v>189</v>
      </c>
      <c r="E82" s="4">
        <f>IFERROR(__xludf.DUMMYFUNCTION("IF(
  C82="""",
  """",
  N(
    COUNTIF(
      SPLIT(SUBSTITUIR(template!A89,CHAR(10),"",""),"",""),
      C82
    )&gt;0
  )
)
"),0.0)</f>
        <v>0</v>
      </c>
    </row>
    <row r="83">
      <c r="A83" s="3" t="s">
        <v>167</v>
      </c>
      <c r="B83" s="3" t="s">
        <v>187</v>
      </c>
      <c r="C83" s="3" t="s">
        <v>190</v>
      </c>
      <c r="D83" s="3" t="s">
        <v>93</v>
      </c>
      <c r="E83" s="4">
        <f>IFERROR(__xludf.DUMMYFUNCTION("IF(
  C83="""",
  """",
  N(
    COUNTIF(
      SPLIT(SUBSTITUIR(template!A90,CHAR(10),"",""),"",""),
      C83
    )&gt;0
  )
)
"),0.0)</f>
        <v>0</v>
      </c>
    </row>
    <row r="84">
      <c r="A84" s="3" t="s">
        <v>167</v>
      </c>
      <c r="B84" s="3" t="s">
        <v>187</v>
      </c>
      <c r="C84" s="3" t="s">
        <v>191</v>
      </c>
      <c r="D84" s="3" t="s">
        <v>93</v>
      </c>
      <c r="E84" s="4">
        <f>IFERROR(__xludf.DUMMYFUNCTION("IF(
  C84="""",
  """",
  N(
    COUNTIF(
      SPLIT(SUBSTITUIR(template!A91,CHAR(10),"",""),"",""),
      C84
    )&gt;0
  )
)
"),0.0)</f>
        <v>0</v>
      </c>
    </row>
    <row r="85">
      <c r="A85" s="3" t="s">
        <v>167</v>
      </c>
      <c r="B85" s="3" t="s">
        <v>187</v>
      </c>
      <c r="C85" s="3" t="s">
        <v>192</v>
      </c>
      <c r="D85" s="3" t="s">
        <v>93</v>
      </c>
      <c r="E85" s="4">
        <f>IFERROR(__xludf.DUMMYFUNCTION("IF(
  C85="""",
  """",
  N(
    COUNTIF(
      SPLIT(SUBSTITUIR(template!A92,CHAR(10),"",""),"",""),
      C85
    )&gt;0
  )
)
"),0.0)</f>
        <v>0</v>
      </c>
    </row>
    <row r="86">
      <c r="A86" s="3" t="s">
        <v>167</v>
      </c>
      <c r="B86" s="3" t="s">
        <v>187</v>
      </c>
      <c r="C86" s="3" t="s">
        <v>193</v>
      </c>
      <c r="D86" s="3" t="s">
        <v>93</v>
      </c>
      <c r="E86" s="4">
        <f>IFERROR(__xludf.DUMMYFUNCTION("IF(
  C86="""",
  """",
  N(
    COUNTIF(
      SPLIT(SUBSTITUIR(template!A93,CHAR(10),"",""),"",""),
      C86
    )&gt;0
  )
)
"),0.0)</f>
        <v>0</v>
      </c>
    </row>
    <row r="87">
      <c r="A87" s="3" t="s">
        <v>167</v>
      </c>
      <c r="B87" s="3" t="s">
        <v>194</v>
      </c>
      <c r="C87" s="3" t="s">
        <v>195</v>
      </c>
      <c r="D87" s="3" t="s">
        <v>196</v>
      </c>
      <c r="E87" s="4">
        <f>IFERROR(__xludf.DUMMYFUNCTION("IF(
  C87="""",
  """",
  N(
    COUNTIF(
      SPLIT(SUBSTITUIR(template!A94,CHAR(10),"",""),"",""),
      C87
    )&gt;0
  )
)
"),0.0)</f>
        <v>0</v>
      </c>
    </row>
    <row r="88">
      <c r="A88" s="3" t="s">
        <v>167</v>
      </c>
      <c r="B88" s="3" t="s">
        <v>194</v>
      </c>
      <c r="C88" s="3" t="s">
        <v>197</v>
      </c>
      <c r="D88" s="3" t="s">
        <v>198</v>
      </c>
      <c r="E88" s="4">
        <f>IFERROR(__xludf.DUMMYFUNCTION("IF(
  C88="""",
  """",
  N(
    COUNTIF(
      SPLIT(SUBSTITUIR(template!A95,CHAR(10),"",""),"",""),
      C88
    )&gt;0
  )
)
"),0.0)</f>
        <v>0</v>
      </c>
    </row>
    <row r="89">
      <c r="A89" s="3" t="s">
        <v>167</v>
      </c>
      <c r="B89" s="3" t="s">
        <v>199</v>
      </c>
      <c r="C89" s="3" t="s">
        <v>200</v>
      </c>
      <c r="D89" s="3" t="s">
        <v>201</v>
      </c>
      <c r="E89" s="4">
        <f>IFERROR(__xludf.DUMMYFUNCTION("IF(
  C89="""",
  """",
  N(
    COUNTIF(
      SPLIT(SUBSTITUIR(template!A96,CHAR(10),"",""),"",""),
      C89
    )&gt;0
  )
)
"),0.0)</f>
        <v>0</v>
      </c>
    </row>
    <row r="90">
      <c r="A90" s="3" t="s">
        <v>167</v>
      </c>
      <c r="B90" s="3" t="s">
        <v>199</v>
      </c>
      <c r="C90" s="3" t="s">
        <v>202</v>
      </c>
      <c r="D90" s="3" t="s">
        <v>203</v>
      </c>
      <c r="E90" s="4">
        <f>IFERROR(__xludf.DUMMYFUNCTION("IF(
  C90="""",
  """",
  N(
    COUNTIF(
      SPLIT(SUBSTITUIR(template!A97,CHAR(10),"",""),"",""),
      C90
    )&gt;0
  )
)
"),0.0)</f>
        <v>0</v>
      </c>
    </row>
    <row r="91">
      <c r="A91" s="3" t="s">
        <v>167</v>
      </c>
      <c r="B91" s="3" t="s">
        <v>204</v>
      </c>
      <c r="C91" s="3" t="s">
        <v>205</v>
      </c>
      <c r="D91" s="3" t="s">
        <v>93</v>
      </c>
      <c r="E91" s="4">
        <f>IFERROR(__xludf.DUMMYFUNCTION("IF(
  C91="""",
  """",
  N(
    COUNTIF(
      SPLIT(SUBSTITUIR(template!A98,CHAR(10),"",""),"",""),
      C91
    )&gt;0
  )
)
"),0.0)</f>
        <v>0</v>
      </c>
    </row>
    <row r="92">
      <c r="A92" s="3" t="s">
        <v>167</v>
      </c>
      <c r="B92" s="3" t="s">
        <v>204</v>
      </c>
      <c r="C92" s="3" t="s">
        <v>206</v>
      </c>
      <c r="D92" s="3" t="s">
        <v>207</v>
      </c>
      <c r="E92" s="4">
        <f>IFERROR(__xludf.DUMMYFUNCTION("IF(
  C92="""",
  """",
  N(
    COUNTIF(
      SPLIT(SUBSTITUIR(template!A99,CHAR(10),"",""),"",""),
      C92
    )&gt;0
  )
)
"),0.0)</f>
        <v>0</v>
      </c>
    </row>
    <row r="93">
      <c r="A93" s="3" t="s">
        <v>167</v>
      </c>
      <c r="B93" s="3" t="s">
        <v>204</v>
      </c>
      <c r="C93" s="3" t="s">
        <v>208</v>
      </c>
      <c r="D93" s="3" t="s">
        <v>209</v>
      </c>
      <c r="E93" s="4">
        <f>IFERROR(__xludf.DUMMYFUNCTION("IF(
  C93="""",
  """",
  N(
    COUNTIF(
      SPLIT(SUBSTITUIR(template!A100,CHAR(10),"",""),"",""),
      C93
    )&gt;0
  )
)
"),0.0)</f>
        <v>0</v>
      </c>
    </row>
    <row r="94">
      <c r="A94" s="3" t="s">
        <v>167</v>
      </c>
      <c r="B94" s="3" t="s">
        <v>210</v>
      </c>
      <c r="C94" s="3" t="s">
        <v>211</v>
      </c>
      <c r="D94" s="3" t="s">
        <v>212</v>
      </c>
      <c r="E94" s="4">
        <f>IFERROR(__xludf.DUMMYFUNCTION("IF(
  C94="""",
  """",
  N(
    COUNTIF(
      SPLIT(SUBSTITUIR(template!A101,CHAR(10),"",""),"",""),
      C94
    )&gt;0
  )
)
"),0.0)</f>
        <v>0</v>
      </c>
    </row>
    <row r="95">
      <c r="A95" s="3" t="s">
        <v>167</v>
      </c>
      <c r="B95" s="3" t="s">
        <v>210</v>
      </c>
      <c r="C95" s="3" t="s">
        <v>213</v>
      </c>
      <c r="D95" s="3" t="s">
        <v>214</v>
      </c>
      <c r="E95" s="4">
        <f>IFERROR(__xludf.DUMMYFUNCTION("IF(
  C95="""",
  """",
  N(
    COUNTIF(
      SPLIT(SUBSTITUIR(template!A102,CHAR(10),"",""),"",""),
      C95
    )&gt;0
  )
)
"),0.0)</f>
        <v>0</v>
      </c>
    </row>
    <row r="96">
      <c r="A96" s="3" t="s">
        <v>167</v>
      </c>
      <c r="B96" s="3" t="s">
        <v>210</v>
      </c>
      <c r="C96" s="3" t="s">
        <v>215</v>
      </c>
      <c r="D96" s="3" t="s">
        <v>216</v>
      </c>
      <c r="E96" s="4">
        <f>IFERROR(__xludf.DUMMYFUNCTION("IF(
  C96="""",
  """",
  N(
    COUNTIF(
      SPLIT(SUBSTITUIR(template!A103,CHAR(10),"",""),"",""),
      C96
    )&gt;0
  )
)
"),0.0)</f>
        <v>0</v>
      </c>
    </row>
    <row r="97">
      <c r="A97" s="3" t="s">
        <v>167</v>
      </c>
      <c r="B97" s="3" t="s">
        <v>210</v>
      </c>
      <c r="C97" s="3" t="s">
        <v>217</v>
      </c>
      <c r="D97" s="3" t="s">
        <v>218</v>
      </c>
      <c r="E97" s="4">
        <f>IFERROR(__xludf.DUMMYFUNCTION("IF(
  C97="""",
  """",
  N(
    COUNTIF(
      SPLIT(SUBSTITUIR(template!A104,CHAR(10),"",""),"",""),
      C97
    )&gt;0
  )
)
"),0.0)</f>
        <v>0</v>
      </c>
    </row>
    <row r="98">
      <c r="A98" s="3" t="s">
        <v>167</v>
      </c>
      <c r="B98" s="3" t="s">
        <v>219</v>
      </c>
      <c r="C98" s="3" t="s">
        <v>220</v>
      </c>
      <c r="D98" s="3" t="s">
        <v>221</v>
      </c>
      <c r="E98" s="4">
        <f>IFERROR(__xludf.DUMMYFUNCTION("IF(
  C98="""",
  """",
  N(
    COUNTIF(
      SPLIT(SUBSTITUIR(template!A105,CHAR(10),"",""),"",""),
      C98
    )&gt;0
  )
)
"),0.0)</f>
        <v>0</v>
      </c>
    </row>
    <row r="99">
      <c r="A99" s="3" t="s">
        <v>167</v>
      </c>
      <c r="B99" s="3" t="s">
        <v>219</v>
      </c>
      <c r="C99" s="3" t="s">
        <v>222</v>
      </c>
      <c r="D99" s="3" t="s">
        <v>223</v>
      </c>
      <c r="E99" s="4">
        <f>IFERROR(__xludf.DUMMYFUNCTION("IF(
  C99="""",
  """",
  N(
    COUNTIF(
      SPLIT(SUBSTITUIR(template!A106,CHAR(10),"",""),"",""),
      C99
    )&gt;0
  )
)
"),0.0)</f>
        <v>0</v>
      </c>
    </row>
    <row r="100">
      <c r="A100" s="3" t="s">
        <v>167</v>
      </c>
      <c r="B100" s="3" t="s">
        <v>224</v>
      </c>
      <c r="C100" s="3" t="s">
        <v>225</v>
      </c>
      <c r="D100" s="3" t="s">
        <v>226</v>
      </c>
      <c r="E100" s="4">
        <f>IFERROR(__xludf.DUMMYFUNCTION("IF(
  C100="""",
  """",
  N(
    COUNTIF(
      SPLIT(SUBSTITUIR(template!A107,CHAR(10),"",""),"",""),
      C100
    )&gt;0
  )
)
"),0.0)</f>
        <v>0</v>
      </c>
    </row>
    <row r="101">
      <c r="A101" s="3" t="s">
        <v>167</v>
      </c>
      <c r="B101" s="3" t="s">
        <v>224</v>
      </c>
      <c r="C101" s="3" t="s">
        <v>227</v>
      </c>
      <c r="D101" s="3" t="s">
        <v>226</v>
      </c>
      <c r="E101" s="4">
        <f>IFERROR(__xludf.DUMMYFUNCTION("IF(
  C101="""",
  """",
  N(
    COUNTIF(
      SPLIT(SUBSTITUIR(template!A108,CHAR(10),"",""),"",""),
      C101
    )&gt;0
  )
)
"),0.0)</f>
        <v>0</v>
      </c>
    </row>
    <row r="102">
      <c r="A102" s="3" t="s">
        <v>167</v>
      </c>
      <c r="B102" s="3" t="s">
        <v>228</v>
      </c>
      <c r="C102" s="3" t="s">
        <v>229</v>
      </c>
      <c r="D102" s="3" t="s">
        <v>230</v>
      </c>
      <c r="E102" s="4">
        <f>IFERROR(__xludf.DUMMYFUNCTION("IF(
  C102="""",
  """",
  N(
    COUNTIF(
      SPLIT(SUBSTITUIR(template!A109,CHAR(10),"",""),"",""),
      C102
    )&gt;0
  )
)
"),0.0)</f>
        <v>0</v>
      </c>
    </row>
    <row r="103">
      <c r="A103" s="3" t="s">
        <v>167</v>
      </c>
      <c r="B103" s="3" t="s">
        <v>231</v>
      </c>
      <c r="C103" s="3" t="s">
        <v>93</v>
      </c>
      <c r="D103" s="3" t="s">
        <v>232</v>
      </c>
      <c r="E103" s="4">
        <f>IFERROR(__xludf.DUMMYFUNCTION("IF(
  C103="""",
  """",
  N(
    COUNTIF(
      SPLIT(SUBSTITUIR(template!A110,CHAR(10),"",""),"",""),
      C103
    )&gt;0
  )
)
"),0.0)</f>
        <v>0</v>
      </c>
    </row>
    <row r="104">
      <c r="A104" s="3" t="s">
        <v>167</v>
      </c>
      <c r="B104" s="3" t="s">
        <v>233</v>
      </c>
      <c r="C104" s="3" t="s">
        <v>93</v>
      </c>
      <c r="D104" s="3" t="s">
        <v>234</v>
      </c>
      <c r="E104" s="4">
        <f>IFERROR(__xludf.DUMMYFUNCTION("IF(
  C104="""",
  """",
  N(
    COUNTIF(
      SPLIT(SUBSTITUIR(template!A111,CHAR(10),"",""),"",""),
      C104
    )&gt;0
  )
)
"),0.0)</f>
        <v>0</v>
      </c>
    </row>
    <row r="105">
      <c r="A105" s="3" t="s">
        <v>235</v>
      </c>
      <c r="B105" s="3" t="s">
        <v>236</v>
      </c>
      <c r="C105" s="3" t="s">
        <v>93</v>
      </c>
      <c r="D105" s="3" t="s">
        <v>237</v>
      </c>
      <c r="E105" s="4">
        <f>IFERROR(__xludf.DUMMYFUNCTION("IF(
  C105="""",
  """",
  N(
    COUNTIF(
      SPLIT(SUBSTITUIR(template!A112,CHAR(10),"",""),"",""),
      C105
    )&gt;0
  )
)
"),0.0)</f>
        <v>0</v>
      </c>
    </row>
    <row r="106">
      <c r="A106" s="3" t="s">
        <v>235</v>
      </c>
      <c r="B106" s="3" t="s">
        <v>238</v>
      </c>
      <c r="C106" s="3" t="s">
        <v>239</v>
      </c>
      <c r="D106" s="3" t="s">
        <v>240</v>
      </c>
      <c r="E106" s="4">
        <f>IFERROR(__xludf.DUMMYFUNCTION("IF(
  C106="""",
  """",
  N(
    COUNTIF(
      SPLIT(SUBSTITUIR(template!A113,CHAR(10),"",""),"",""),
      C106
    )&gt;0
  )
)
"),0.0)</f>
        <v>0</v>
      </c>
    </row>
    <row r="107">
      <c r="A107" s="3" t="s">
        <v>235</v>
      </c>
      <c r="B107" s="3" t="s">
        <v>238</v>
      </c>
      <c r="C107" s="3" t="s">
        <v>241</v>
      </c>
      <c r="D107" s="3" t="s">
        <v>93</v>
      </c>
      <c r="E107" s="4">
        <f>IFERROR(__xludf.DUMMYFUNCTION("IF(
  C107="""",
  """",
  N(
    COUNTIF(
      SPLIT(SUBSTITUIR(template!A114,CHAR(10),"",""),"",""),
      C107
    )&gt;0
  )
)
"),0.0)</f>
        <v>0</v>
      </c>
    </row>
    <row r="108">
      <c r="A108" s="3" t="s">
        <v>235</v>
      </c>
      <c r="B108" s="3" t="s">
        <v>238</v>
      </c>
      <c r="C108" s="3" t="s">
        <v>242</v>
      </c>
      <c r="D108" s="3" t="s">
        <v>243</v>
      </c>
      <c r="E108" s="4">
        <f>IFERROR(__xludf.DUMMYFUNCTION("IF(
  C108="""",
  """",
  N(
    COUNTIF(
      SPLIT(SUBSTITUIR(template!A115,CHAR(10),"",""),"",""),
      C108
    )&gt;0
  )
)
"),0.0)</f>
        <v>0</v>
      </c>
    </row>
    <row r="109">
      <c r="A109" s="3" t="s">
        <v>235</v>
      </c>
      <c r="B109" s="3" t="s">
        <v>244</v>
      </c>
      <c r="C109" s="3" t="s">
        <v>245</v>
      </c>
      <c r="D109" s="3" t="s">
        <v>246</v>
      </c>
      <c r="E109" s="4">
        <f>IFERROR(__xludf.DUMMYFUNCTION("IF(
  C109="""",
  """",
  N(
    COUNTIF(
      SPLIT(SUBSTITUIR(template!A116,CHAR(10),"",""),"",""),
      C109
    )&gt;0
  )
)
"),0.0)</f>
        <v>0</v>
      </c>
    </row>
    <row r="110">
      <c r="A110" s="3" t="s">
        <v>235</v>
      </c>
      <c r="B110" s="3" t="s">
        <v>244</v>
      </c>
      <c r="C110" s="3" t="s">
        <v>247</v>
      </c>
      <c r="D110" s="3" t="s">
        <v>248</v>
      </c>
      <c r="E110" s="4">
        <f>IFERROR(__xludf.DUMMYFUNCTION("IF(
  C110="""",
  """",
  N(
    COUNTIF(
      SPLIT(SUBSTITUIR(template!A117,CHAR(10),"",""),"",""),
      C110
    )&gt;0
  )
)
"),0.0)</f>
        <v>0</v>
      </c>
    </row>
    <row r="111">
      <c r="A111" s="3" t="s">
        <v>235</v>
      </c>
      <c r="B111" s="3" t="s">
        <v>249</v>
      </c>
      <c r="C111" s="3" t="s">
        <v>250</v>
      </c>
      <c r="D111" s="3" t="s">
        <v>93</v>
      </c>
      <c r="E111" s="4">
        <f>IFERROR(__xludf.DUMMYFUNCTION("IF(
  C111="""",
  """",
  N(
    COUNTIF(
      SPLIT(SUBSTITUIR(template!A118,CHAR(10),"",""),"",""),
      C111
    )&gt;0
  )
)
"),0.0)</f>
        <v>0</v>
      </c>
    </row>
    <row r="112">
      <c r="A112" s="3" t="s">
        <v>235</v>
      </c>
      <c r="B112" s="3" t="s">
        <v>249</v>
      </c>
      <c r="C112" s="3" t="s">
        <v>251</v>
      </c>
      <c r="D112" s="3" t="s">
        <v>252</v>
      </c>
      <c r="E112" s="4">
        <f>IFERROR(__xludf.DUMMYFUNCTION("IF(
  C112="""",
  """",
  N(
    COUNTIF(
      SPLIT(SUBSTITUIR(template!A119,CHAR(10),"",""),"",""),
      C112
    )&gt;0
  )
)
"),0.0)</f>
        <v>0</v>
      </c>
    </row>
    <row r="113">
      <c r="A113" s="3" t="s">
        <v>235</v>
      </c>
      <c r="B113" s="3" t="s">
        <v>249</v>
      </c>
      <c r="C113" s="3" t="s">
        <v>253</v>
      </c>
      <c r="D113" s="3" t="s">
        <v>254</v>
      </c>
      <c r="E113" s="4">
        <f>IFERROR(__xludf.DUMMYFUNCTION("IF(
  C113="""",
  """",
  N(
    COUNTIF(
      SPLIT(SUBSTITUIR(template!A120,CHAR(10),"",""),"",""),
      C113
    )&gt;0
  )
)
"),0.0)</f>
        <v>0</v>
      </c>
    </row>
    <row r="114">
      <c r="A114" s="3" t="s">
        <v>235</v>
      </c>
      <c r="B114" s="3" t="s">
        <v>249</v>
      </c>
      <c r="C114" s="3" t="s">
        <v>255</v>
      </c>
      <c r="D114" s="3" t="s">
        <v>93</v>
      </c>
      <c r="E114" s="4">
        <f>IFERROR(__xludf.DUMMYFUNCTION("IF(
  C114="""",
  """",
  N(
    COUNTIF(
      SPLIT(SUBSTITUIR(template!A121,CHAR(10),"",""),"",""),
      C114
    )&gt;0
  )
)
"),0.0)</f>
        <v>0</v>
      </c>
    </row>
    <row r="115">
      <c r="A115" s="3" t="s">
        <v>235</v>
      </c>
      <c r="B115" s="3" t="s">
        <v>249</v>
      </c>
      <c r="C115" s="3" t="s">
        <v>256</v>
      </c>
      <c r="D115" s="3" t="s">
        <v>257</v>
      </c>
      <c r="E115" s="4">
        <f>IFERROR(__xludf.DUMMYFUNCTION("IF(
  C115="""",
  """",
  N(
    COUNTIF(
      SPLIT(SUBSTITUIR(template!A122,CHAR(10),"",""),"",""),
      C115
    )&gt;0
  )
)
"),0.0)</f>
        <v>0</v>
      </c>
    </row>
    <row r="116">
      <c r="A116" s="3" t="s">
        <v>235</v>
      </c>
      <c r="B116" s="3" t="s">
        <v>258</v>
      </c>
      <c r="C116" s="3" t="s">
        <v>259</v>
      </c>
      <c r="D116" s="3" t="s">
        <v>260</v>
      </c>
      <c r="E116" s="4">
        <f>IFERROR(__xludf.DUMMYFUNCTION("IF(
  C116="""",
  """",
  N(
    COUNTIF(
      SPLIT(SUBSTITUIR(template!A123,CHAR(10),"",""),"",""),
      C116
    )&gt;0
  )
)
"),0.0)</f>
        <v>0</v>
      </c>
    </row>
    <row r="117">
      <c r="A117" s="3" t="s">
        <v>235</v>
      </c>
      <c r="B117" s="3" t="s">
        <v>258</v>
      </c>
      <c r="C117" s="3" t="s">
        <v>261</v>
      </c>
      <c r="D117" s="3" t="s">
        <v>262</v>
      </c>
      <c r="E117" s="4">
        <f>IFERROR(__xludf.DUMMYFUNCTION("IF(
  C117="""",
  """",
  N(
    COUNTIF(
      SPLIT(SUBSTITUIR(template!A124,CHAR(10),"",""),"",""),
      C117
    )&gt;0
  )
)
"),0.0)</f>
        <v>0</v>
      </c>
    </row>
    <row r="118">
      <c r="A118" s="3" t="s">
        <v>235</v>
      </c>
      <c r="B118" s="3" t="s">
        <v>258</v>
      </c>
      <c r="C118" s="3" t="s">
        <v>263</v>
      </c>
      <c r="D118" s="3" t="s">
        <v>93</v>
      </c>
      <c r="E118" s="4">
        <f>IFERROR(__xludf.DUMMYFUNCTION("IF(
  C118="""",
  """",
  N(
    COUNTIF(
      SPLIT(SUBSTITUIR(template!A125,CHAR(10),"",""),"",""),
      C118
    )&gt;0
  )
)
"),0.0)</f>
        <v>0</v>
      </c>
    </row>
    <row r="119">
      <c r="A119" s="3" t="s">
        <v>235</v>
      </c>
      <c r="B119" s="3" t="s">
        <v>264</v>
      </c>
      <c r="C119" s="3" t="s">
        <v>93</v>
      </c>
      <c r="D119" s="3" t="s">
        <v>237</v>
      </c>
      <c r="E119" s="4">
        <f>IFERROR(__xludf.DUMMYFUNCTION("IF(
  C119="""",
  """",
  N(
    COUNTIF(
      SPLIT(SUBSTITUIR(template!A126,CHAR(10),"",""),"",""),
      C119
    )&gt;0
  )
)
"),0.0)</f>
        <v>0</v>
      </c>
    </row>
    <row r="120">
      <c r="A120" s="3" t="s">
        <v>235</v>
      </c>
      <c r="B120" s="3" t="s">
        <v>265</v>
      </c>
      <c r="C120" s="3" t="s">
        <v>93</v>
      </c>
      <c r="D120" s="3" t="s">
        <v>237</v>
      </c>
      <c r="E120" s="4">
        <f>IFERROR(__xludf.DUMMYFUNCTION("IF(
  C120="""",
  """",
  N(
    COUNTIF(
      SPLIT(SUBSTITUIR(template!A127,CHAR(10),"",""),"",""),
      C120
    )&gt;0
  )
)
"),0.0)</f>
        <v>0</v>
      </c>
    </row>
    <row r="121">
      <c r="A121" s="3" t="s">
        <v>235</v>
      </c>
      <c r="B121" s="3" t="s">
        <v>266</v>
      </c>
      <c r="C121" s="3" t="s">
        <v>267</v>
      </c>
      <c r="D121" s="3" t="s">
        <v>268</v>
      </c>
      <c r="E121" s="4">
        <f>IFERROR(__xludf.DUMMYFUNCTION("IF(
  C121="""",
  """",
  N(
    COUNTIF(
      SPLIT(SUBSTITUIR(template!A128,CHAR(10),"",""),"",""),
      C121
    )&gt;0
  )
)
"),0.0)</f>
        <v>0</v>
      </c>
    </row>
    <row r="122">
      <c r="A122" s="3" t="s">
        <v>235</v>
      </c>
      <c r="B122" s="3" t="s">
        <v>269</v>
      </c>
      <c r="C122" s="3" t="s">
        <v>270</v>
      </c>
      <c r="D122" s="3" t="s">
        <v>271</v>
      </c>
      <c r="E122" s="4">
        <f>IFERROR(__xludf.DUMMYFUNCTION("IF(
  C122="""",
  """",
  N(
    COUNTIF(
      SPLIT(SUBSTITUIR(template!A129,CHAR(10),"",""),"",""),
      C122
    )&gt;0
  )
)
"),0.0)</f>
        <v>0</v>
      </c>
    </row>
    <row r="123">
      <c r="A123" s="3" t="s">
        <v>235</v>
      </c>
      <c r="B123" s="3" t="s">
        <v>272</v>
      </c>
      <c r="C123" s="3" t="s">
        <v>273</v>
      </c>
      <c r="D123" s="3" t="s">
        <v>274</v>
      </c>
      <c r="E123" s="4">
        <f>IFERROR(__xludf.DUMMYFUNCTION("IF(
  C123="""",
  """",
  N(
    COUNTIF(
      SPLIT(SUBSTITUIR(template!A130,CHAR(10),"",""),"",""),
      C123
    )&gt;0
  )
)
"),0.0)</f>
        <v>0</v>
      </c>
    </row>
    <row r="124">
      <c r="A124" s="3" t="s">
        <v>275</v>
      </c>
      <c r="B124" s="3" t="s">
        <v>276</v>
      </c>
      <c r="C124" s="3" t="s">
        <v>277</v>
      </c>
      <c r="D124" s="3" t="s">
        <v>93</v>
      </c>
      <c r="E124" s="4">
        <f>IFERROR(__xludf.DUMMYFUNCTION("IF(
  C124="""",
  """",
  N(
    COUNTIF(
      SPLIT(SUBSTITUIR(template!A131,CHAR(10),"",""),"",""),
      C124
    )&gt;0
  )
)
"),0.0)</f>
        <v>0</v>
      </c>
    </row>
    <row r="125">
      <c r="A125" s="3" t="s">
        <v>275</v>
      </c>
      <c r="B125" s="3" t="s">
        <v>276</v>
      </c>
      <c r="C125" s="3" t="s">
        <v>278</v>
      </c>
      <c r="D125" s="3" t="s">
        <v>279</v>
      </c>
      <c r="E125" s="4">
        <f>IFERROR(__xludf.DUMMYFUNCTION("IF(
  C125="""",
  """",
  N(
    COUNTIF(
      SPLIT(SUBSTITUIR(template!A132,CHAR(10),"",""),"",""),
      C125
    )&gt;0
  )
)
"),0.0)</f>
        <v>0</v>
      </c>
    </row>
    <row r="126">
      <c r="A126" s="3" t="s">
        <v>275</v>
      </c>
      <c r="B126" s="3" t="s">
        <v>276</v>
      </c>
      <c r="C126" s="3" t="s">
        <v>280</v>
      </c>
      <c r="D126" s="3" t="s">
        <v>281</v>
      </c>
      <c r="E126" s="4">
        <f>IFERROR(__xludf.DUMMYFUNCTION("IF(
  C126="""",
  """",
  N(
    COUNTIF(
      SPLIT(SUBSTITUIR(template!A133,CHAR(10),"",""),"",""),
      C126
    )&gt;0
  )
)
"),0.0)</f>
        <v>0</v>
      </c>
    </row>
    <row r="127">
      <c r="A127" s="3" t="s">
        <v>275</v>
      </c>
      <c r="B127" s="3" t="s">
        <v>282</v>
      </c>
      <c r="C127" s="3" t="s">
        <v>283</v>
      </c>
      <c r="D127" s="3" t="s">
        <v>284</v>
      </c>
      <c r="E127" s="4">
        <f>IFERROR(__xludf.DUMMYFUNCTION("IF(
  C127="""",
  """",
  N(
    COUNTIF(
      SPLIT(SUBSTITUIR(template!A134,CHAR(10),"",""),"",""),
      C127
    )&gt;0
  )
)
"),0.0)</f>
        <v>0</v>
      </c>
    </row>
    <row r="128">
      <c r="A128" s="3" t="s">
        <v>275</v>
      </c>
      <c r="B128" s="3" t="s">
        <v>282</v>
      </c>
      <c r="C128" s="3" t="s">
        <v>285</v>
      </c>
      <c r="D128" s="3" t="s">
        <v>286</v>
      </c>
      <c r="E128" s="4">
        <f>IFERROR(__xludf.DUMMYFUNCTION("IF(
  C128="""",
  """",
  N(
    COUNTIF(
      SPLIT(SUBSTITUIR(template!A135,CHAR(10),"",""),"",""),
      C128
    )&gt;0
  )
)
"),0.0)</f>
        <v>0</v>
      </c>
    </row>
    <row r="129">
      <c r="A129" s="3" t="s">
        <v>275</v>
      </c>
      <c r="B129" s="3" t="s">
        <v>282</v>
      </c>
      <c r="C129" s="3" t="s">
        <v>287</v>
      </c>
      <c r="D129" s="3" t="s">
        <v>288</v>
      </c>
      <c r="E129" s="4">
        <f>IFERROR(__xludf.DUMMYFUNCTION("IF(
  C129="""",
  """",
  N(
    COUNTIF(
      SPLIT(SUBSTITUIR(template!A136,CHAR(10),"",""),"",""),
      C129
    )&gt;0
  )
)
"),0.0)</f>
        <v>0</v>
      </c>
    </row>
    <row r="130">
      <c r="A130" s="3" t="s">
        <v>275</v>
      </c>
      <c r="B130" s="3" t="s">
        <v>282</v>
      </c>
      <c r="C130" s="3" t="s">
        <v>289</v>
      </c>
      <c r="D130" s="3" t="s">
        <v>290</v>
      </c>
      <c r="E130" s="4">
        <f>IFERROR(__xludf.DUMMYFUNCTION("IF(
  C130="""",
  """",
  N(
    COUNTIF(
      SPLIT(SUBSTITUIR(template!A137,CHAR(10),"",""),"",""),
      C130
    )&gt;0
  )
)
"),0.0)</f>
        <v>0</v>
      </c>
    </row>
    <row r="131">
      <c r="A131" s="3" t="s">
        <v>275</v>
      </c>
      <c r="B131" s="3" t="s">
        <v>282</v>
      </c>
      <c r="C131" s="3" t="s">
        <v>291</v>
      </c>
      <c r="D131" s="3" t="s">
        <v>292</v>
      </c>
      <c r="E131" s="4">
        <f>IFERROR(__xludf.DUMMYFUNCTION("IF(
  C131="""",
  """",
  N(
    COUNTIF(
      SPLIT(SUBSTITUIR(template!A138,CHAR(10),"",""),"",""),
      C131
    )&gt;0
  )
)
"),0.0)</f>
        <v>0</v>
      </c>
    </row>
    <row r="132">
      <c r="A132" s="3" t="s">
        <v>275</v>
      </c>
      <c r="B132" s="3" t="s">
        <v>293</v>
      </c>
      <c r="C132" s="3" t="s">
        <v>277</v>
      </c>
      <c r="D132" s="3" t="s">
        <v>93</v>
      </c>
      <c r="E132" s="4">
        <f>IFERROR(__xludf.DUMMYFUNCTION("IF(
  C132="""",
  """",
  N(
    COUNTIF(
      SPLIT(SUBSTITUIR(template!A139,CHAR(10),"",""),"",""),
      C132
    )&gt;0
  )
)
"),0.0)</f>
        <v>0</v>
      </c>
    </row>
    <row r="133">
      <c r="A133" s="3" t="s">
        <v>275</v>
      </c>
      <c r="B133" s="3" t="s">
        <v>293</v>
      </c>
      <c r="C133" s="3" t="s">
        <v>294</v>
      </c>
      <c r="D133" s="3" t="s">
        <v>93</v>
      </c>
      <c r="E133" s="4">
        <f>IFERROR(__xludf.DUMMYFUNCTION("IF(
  C133="""",
  """",
  N(
    COUNTIF(
      SPLIT(SUBSTITUIR(template!A140,CHAR(10),"",""),"",""),
      C133
    )&gt;0
  )
)
"),0.0)</f>
        <v>0</v>
      </c>
    </row>
    <row r="134">
      <c r="A134" s="3" t="s">
        <v>275</v>
      </c>
      <c r="B134" s="3" t="s">
        <v>295</v>
      </c>
      <c r="C134" s="3" t="s">
        <v>296</v>
      </c>
      <c r="D134" s="3" t="s">
        <v>297</v>
      </c>
      <c r="E134" s="4">
        <f>IFERROR(__xludf.DUMMYFUNCTION("IF(
  C134="""",
  """",
  N(
    COUNTIF(
      SPLIT(SUBSTITUIR(template!A141,CHAR(10),"",""),"",""),
      C134
    )&gt;0
  )
)
"),0.0)</f>
        <v>0</v>
      </c>
    </row>
    <row r="135">
      <c r="A135" s="3" t="s">
        <v>275</v>
      </c>
      <c r="B135" s="3" t="s">
        <v>298</v>
      </c>
      <c r="C135" s="3" t="s">
        <v>299</v>
      </c>
      <c r="D135" s="3" t="s">
        <v>237</v>
      </c>
      <c r="E135" s="4">
        <f>IFERROR(__xludf.DUMMYFUNCTION("IF(
  C135="""",
  """",
  N(
    COUNTIF(
      SPLIT(SUBSTITUIR(template!A142,CHAR(10),"",""),"",""),
      C135
    )&gt;0
  )
)
"),0.0)</f>
        <v>0</v>
      </c>
    </row>
    <row r="136">
      <c r="A136" s="3" t="s">
        <v>275</v>
      </c>
      <c r="B136" s="3" t="s">
        <v>300</v>
      </c>
      <c r="C136" s="3" t="s">
        <v>301</v>
      </c>
      <c r="D136" s="3" t="s">
        <v>93</v>
      </c>
      <c r="E136" s="4">
        <f>IFERROR(__xludf.DUMMYFUNCTION("IF(
  C136="""",
  """",
  N(
    COUNTIF(
      SPLIT(SUBSTITUIR(template!A143,CHAR(10),"",""),"",""),
      C136
    )&gt;0
  )
)
"),0.0)</f>
        <v>0</v>
      </c>
    </row>
    <row r="137">
      <c r="A137" s="3" t="s">
        <v>275</v>
      </c>
      <c r="B137" s="3" t="s">
        <v>302</v>
      </c>
      <c r="C137" s="3" t="s">
        <v>303</v>
      </c>
      <c r="D137" s="3" t="s">
        <v>304</v>
      </c>
      <c r="E137" s="4">
        <f>IFERROR(__xludf.DUMMYFUNCTION("IF(
  C137="""",
  """",
  N(
    COUNTIF(
      SPLIT(SUBSTITUIR(template!A144,CHAR(10),"",""),"",""),
      C137
    )&gt;0
  )
)
"),0.0)</f>
        <v>0</v>
      </c>
    </row>
    <row r="138">
      <c r="A138" s="3" t="s">
        <v>275</v>
      </c>
      <c r="B138" s="3" t="s">
        <v>302</v>
      </c>
      <c r="C138" s="3" t="s">
        <v>305</v>
      </c>
      <c r="D138" s="3" t="s">
        <v>306</v>
      </c>
      <c r="E138" s="4">
        <f>IFERROR(__xludf.DUMMYFUNCTION("IF(
  C138="""",
  """",
  N(
    COUNTIF(
      SPLIT(SUBSTITUIR(template!A145,CHAR(10),"",""),"",""),
      C138
    )&gt;0
  )
)
"),0.0)</f>
        <v>0</v>
      </c>
    </row>
    <row r="139">
      <c r="A139" s="3" t="s">
        <v>275</v>
      </c>
      <c r="B139" s="3" t="s">
        <v>307</v>
      </c>
      <c r="C139" s="3" t="s">
        <v>308</v>
      </c>
      <c r="D139" s="3" t="s">
        <v>93</v>
      </c>
      <c r="E139" s="4">
        <f>IFERROR(__xludf.DUMMYFUNCTION("IF(
  C139="""",
  """",
  N(
    COUNTIF(
      SPLIT(SUBSTITUIR(template!A146,CHAR(10),"",""),"",""),
      C139
    )&gt;0
  )
)
"),0.0)</f>
        <v>0</v>
      </c>
    </row>
    <row r="140">
      <c r="A140" s="3" t="s">
        <v>275</v>
      </c>
      <c r="B140" s="3" t="s">
        <v>309</v>
      </c>
      <c r="C140" s="3" t="s">
        <v>310</v>
      </c>
      <c r="D140" s="3" t="s">
        <v>93</v>
      </c>
      <c r="E140" s="4">
        <f>IFERROR(__xludf.DUMMYFUNCTION("IF(
  C140="""",
  """",
  N(
    COUNTIF(
      SPLIT(SUBSTITUIR(template!A147,CHAR(10),"",""),"",""),
      C140
    )&gt;0
  )
)
"),0.0)</f>
        <v>0</v>
      </c>
    </row>
    <row r="141">
      <c r="A141" s="3" t="s">
        <v>275</v>
      </c>
      <c r="B141" s="3" t="s">
        <v>311</v>
      </c>
      <c r="C141" s="3" t="s">
        <v>312</v>
      </c>
      <c r="D141" s="3" t="s">
        <v>313</v>
      </c>
      <c r="E141" s="4">
        <f>IFERROR(__xludf.DUMMYFUNCTION("IF(
  C141="""",
  """",
  N(
    COUNTIF(
      SPLIT(SUBSTITUIR(template!A148,CHAR(10),"",""),"",""),
      C141
    )&gt;0
  )
)
"),0.0)</f>
        <v>0</v>
      </c>
    </row>
    <row r="142">
      <c r="A142" s="3" t="s">
        <v>314</v>
      </c>
      <c r="B142" s="3" t="s">
        <v>315</v>
      </c>
      <c r="C142" s="3" t="s">
        <v>316</v>
      </c>
      <c r="D142" s="3" t="s">
        <v>317</v>
      </c>
      <c r="E142" s="4">
        <f>IFERROR(__xludf.DUMMYFUNCTION("IF(
  C142="""",
  """",
  N(
    COUNTIF(
      SPLIT(SUBSTITUIR(template!A149,CHAR(10),"",""),"",""),
      C142
    )&gt;0
  )
)
"),0.0)</f>
        <v>0</v>
      </c>
    </row>
    <row r="143">
      <c r="A143" s="3" t="s">
        <v>314</v>
      </c>
      <c r="B143" s="3" t="s">
        <v>318</v>
      </c>
      <c r="C143" s="3" t="s">
        <v>319</v>
      </c>
      <c r="D143" s="3" t="s">
        <v>320</v>
      </c>
      <c r="E143" s="4">
        <f>IFERROR(__xludf.DUMMYFUNCTION("IF(
  C143="""",
  """",
  N(
    COUNTIF(
      SPLIT(SUBSTITUIR(template!A150,CHAR(10),"",""),"",""),
      C143
    )&gt;0
  )
)
"),0.0)</f>
        <v>0</v>
      </c>
    </row>
    <row r="144">
      <c r="A144" s="3" t="s">
        <v>314</v>
      </c>
      <c r="B144" s="3" t="s">
        <v>318</v>
      </c>
      <c r="C144" s="3" t="s">
        <v>321</v>
      </c>
      <c r="D144" s="3" t="s">
        <v>322</v>
      </c>
      <c r="E144" s="4">
        <f>IFERROR(__xludf.DUMMYFUNCTION("IF(
  C144="""",
  """",
  N(
    COUNTIF(
      SPLIT(SUBSTITUIR(template!A151,CHAR(10),"",""),"",""),
      C144
    )&gt;0
  )
)
"),0.0)</f>
        <v>0</v>
      </c>
    </row>
    <row r="145">
      <c r="A145" s="3" t="s">
        <v>314</v>
      </c>
      <c r="B145" s="3" t="s">
        <v>318</v>
      </c>
      <c r="C145" s="3" t="s">
        <v>323</v>
      </c>
      <c r="D145" s="3" t="s">
        <v>324</v>
      </c>
      <c r="E145" s="4">
        <f>IFERROR(__xludf.DUMMYFUNCTION("IF(
  C145="""",
  """",
  N(
    COUNTIF(
      SPLIT(SUBSTITUIR(template!A152,CHAR(10),"",""),"",""),
      C145
    )&gt;0
  )
)
"),0.0)</f>
        <v>0</v>
      </c>
    </row>
    <row r="146">
      <c r="A146" s="3" t="s">
        <v>314</v>
      </c>
      <c r="B146" s="3" t="s">
        <v>318</v>
      </c>
      <c r="C146" s="3" t="s">
        <v>325</v>
      </c>
      <c r="D146" s="3" t="s">
        <v>326</v>
      </c>
      <c r="E146" s="4">
        <f>IFERROR(__xludf.DUMMYFUNCTION("IF(
  C146="""",
  """",
  N(
    COUNTIF(
      SPLIT(SUBSTITUIR(template!A153,CHAR(10),"",""),"",""),
      C146
    )&gt;0
  )
)
"),0.0)</f>
        <v>0</v>
      </c>
    </row>
    <row r="147">
      <c r="A147" s="3" t="s">
        <v>314</v>
      </c>
      <c r="B147" s="3" t="s">
        <v>318</v>
      </c>
      <c r="C147" s="3" t="s">
        <v>327</v>
      </c>
      <c r="D147" s="3" t="s">
        <v>328</v>
      </c>
      <c r="E147" s="4">
        <f>IFERROR(__xludf.DUMMYFUNCTION("IF(
  C147="""",
  """",
  N(
    COUNTIF(
      SPLIT(SUBSTITUIR(template!A154,CHAR(10),"",""),"",""),
      C147
    )&gt;0
  )
)
"),0.0)</f>
        <v>0</v>
      </c>
    </row>
    <row r="148">
      <c r="A148" s="3" t="s">
        <v>314</v>
      </c>
      <c r="B148" s="3" t="s">
        <v>318</v>
      </c>
      <c r="C148" s="3" t="s">
        <v>329</v>
      </c>
      <c r="D148" s="3" t="s">
        <v>330</v>
      </c>
      <c r="E148" s="4">
        <f>IFERROR(__xludf.DUMMYFUNCTION("IF(
  C148="""",
  """",
  N(
    COUNTIF(
      SPLIT(SUBSTITUIR(template!A155,CHAR(10),"",""),"",""),
      C148
    )&gt;0
  )
)
"),0.0)</f>
        <v>0</v>
      </c>
    </row>
    <row r="149">
      <c r="A149" s="3" t="s">
        <v>314</v>
      </c>
      <c r="B149" s="3" t="s">
        <v>331</v>
      </c>
      <c r="C149" s="3" t="s">
        <v>332</v>
      </c>
      <c r="D149" s="3" t="s">
        <v>93</v>
      </c>
      <c r="E149" s="4">
        <f>IFERROR(__xludf.DUMMYFUNCTION("IF(
  C149="""",
  """",
  N(
    COUNTIF(
      SPLIT(SUBSTITUIR(template!A156,CHAR(10),"",""),"",""),
      C149
    )&gt;0
  )
)
"),0.0)</f>
        <v>0</v>
      </c>
    </row>
    <row r="150">
      <c r="A150" s="3" t="s">
        <v>314</v>
      </c>
      <c r="B150" s="3" t="s">
        <v>333</v>
      </c>
      <c r="C150" s="3" t="s">
        <v>334</v>
      </c>
      <c r="D150" s="3" t="s">
        <v>335</v>
      </c>
      <c r="E150" s="4">
        <f>IFERROR(__xludf.DUMMYFUNCTION("IF(
  C150="""",
  """",
  N(
    COUNTIF(
      SPLIT(SUBSTITUIR(template!A157,CHAR(10),"",""),"",""),
      C150
    )&gt;0
  )
)
"),0.0)</f>
        <v>0</v>
      </c>
    </row>
    <row r="151">
      <c r="A151" s="3" t="s">
        <v>314</v>
      </c>
      <c r="B151" s="3" t="s">
        <v>336</v>
      </c>
      <c r="C151" s="3" t="s">
        <v>337</v>
      </c>
      <c r="D151" s="3" t="s">
        <v>338</v>
      </c>
      <c r="E151" s="4">
        <f>IFERROR(__xludf.DUMMYFUNCTION("IF(
  C151="""",
  """",
  N(
    COUNTIF(
      SPLIT(SUBSTITUIR(template!A158,CHAR(10),"",""),"",""),
      C151
    )&gt;0
  )
)
"),0.0)</f>
        <v>0</v>
      </c>
    </row>
    <row r="152">
      <c r="A152" s="3" t="s">
        <v>314</v>
      </c>
      <c r="B152" s="3" t="s">
        <v>339</v>
      </c>
      <c r="C152" s="3" t="s">
        <v>340</v>
      </c>
      <c r="D152" s="3" t="s">
        <v>341</v>
      </c>
      <c r="E152" s="4">
        <f>IFERROR(__xludf.DUMMYFUNCTION("IF(
  C152="""",
  """",
  N(
    COUNTIF(
      SPLIT(SUBSTITUIR(template!A159,CHAR(10),"",""),"",""),
      C152
    )&gt;0
  )
)
"),0.0)</f>
        <v>0</v>
      </c>
    </row>
    <row r="153">
      <c r="A153" s="3" t="s">
        <v>314</v>
      </c>
      <c r="B153" s="3" t="s">
        <v>342</v>
      </c>
      <c r="C153" s="3" t="s">
        <v>343</v>
      </c>
      <c r="D153" s="3" t="s">
        <v>344</v>
      </c>
      <c r="E153" s="4">
        <f>IFERROR(__xludf.DUMMYFUNCTION("IF(
  C153="""",
  """",
  N(
    COUNTIF(
      SPLIT(SUBSTITUIR(template!A160,CHAR(10),"",""),"",""),
      C153
    )&gt;0
  )
)
"),0.0)</f>
        <v>0</v>
      </c>
    </row>
    <row r="154">
      <c r="A154" s="3" t="s">
        <v>345</v>
      </c>
      <c r="B154" s="3" t="s">
        <v>346</v>
      </c>
      <c r="C154" s="3" t="s">
        <v>316</v>
      </c>
      <c r="D154" s="3" t="s">
        <v>347</v>
      </c>
      <c r="E154" s="4">
        <f>IFERROR(__xludf.DUMMYFUNCTION("IF(
  C154="""",
  """",
  N(
    COUNTIF(
      SPLIT(SUBSTITUIR(template!A161,CHAR(10),"",""),"",""),
      C154
    )&gt;0
  )
)
"),0.0)</f>
        <v>0</v>
      </c>
    </row>
    <row r="155">
      <c r="A155" s="3" t="s">
        <v>345</v>
      </c>
      <c r="B155" s="3" t="s">
        <v>348</v>
      </c>
      <c r="C155" s="3" t="s">
        <v>349</v>
      </c>
      <c r="D155" s="3" t="s">
        <v>350</v>
      </c>
      <c r="E155" s="4">
        <f>IFERROR(__xludf.DUMMYFUNCTION("IF(
  C155="""",
  """",
  N(
    COUNTIF(
      SPLIT(SUBSTITUIR(template!A162,CHAR(10),"",""),"",""),
      C155
    )&gt;0
  )
)
"),0.0)</f>
        <v>0</v>
      </c>
    </row>
    <row r="156">
      <c r="A156" s="3" t="s">
        <v>351</v>
      </c>
      <c r="B156" s="3" t="s">
        <v>352</v>
      </c>
      <c r="C156" s="3" t="s">
        <v>353</v>
      </c>
      <c r="D156" s="3" t="s">
        <v>354</v>
      </c>
      <c r="E156" s="4">
        <f>IFERROR(__xludf.DUMMYFUNCTION("IF(
  C156="""",
  """",
  N(
    COUNTIF(
      SPLIT(SUBSTITUIR(template!A163,CHAR(10),"",""),"",""),
      C156
    )&gt;0
  )
)
"),0.0)</f>
        <v>0</v>
      </c>
    </row>
    <row r="157">
      <c r="A157" s="3" t="s">
        <v>351</v>
      </c>
      <c r="B157" s="3" t="s">
        <v>352</v>
      </c>
      <c r="C157" s="3" t="s">
        <v>355</v>
      </c>
      <c r="D157" s="3" t="s">
        <v>356</v>
      </c>
      <c r="E157" s="4">
        <f>IFERROR(__xludf.DUMMYFUNCTION("IF(
  C157="""",
  """",
  N(
    COUNTIF(
      SPLIT(SUBSTITUIR(template!A164,CHAR(10),"",""),"",""),
      C157
    )&gt;0
  )
)
"),0.0)</f>
        <v>0</v>
      </c>
    </row>
    <row r="158">
      <c r="A158" s="3" t="s">
        <v>351</v>
      </c>
      <c r="B158" s="3" t="s">
        <v>352</v>
      </c>
      <c r="C158" s="3" t="s">
        <v>357</v>
      </c>
      <c r="D158" s="3" t="s">
        <v>358</v>
      </c>
      <c r="E158" s="4">
        <f>IFERROR(__xludf.DUMMYFUNCTION("IF(
  C158="""",
  """",
  N(
    COUNTIF(
      SPLIT(SUBSTITUIR(template!A165,CHAR(10),"",""),"",""),
      C158
    )&gt;0
  )
)
"),0.0)</f>
        <v>0</v>
      </c>
    </row>
    <row r="159">
      <c r="A159" s="3" t="s">
        <v>351</v>
      </c>
      <c r="B159" s="3" t="s">
        <v>352</v>
      </c>
      <c r="C159" s="3" t="s">
        <v>357</v>
      </c>
      <c r="D159" s="3" t="s">
        <v>359</v>
      </c>
      <c r="E159" s="4">
        <f>IFERROR(__xludf.DUMMYFUNCTION("IF(
  C159="""",
  """",
  N(
    COUNTIF(
      SPLIT(SUBSTITUIR(template!A166,CHAR(10),"",""),"",""),
      C159
    )&gt;0
  )
)
"),0.0)</f>
        <v>0</v>
      </c>
    </row>
    <row r="160">
      <c r="A160" s="3" t="s">
        <v>351</v>
      </c>
      <c r="B160" s="3" t="s">
        <v>352</v>
      </c>
      <c r="C160" s="3" t="s">
        <v>360</v>
      </c>
      <c r="D160" s="3" t="s">
        <v>361</v>
      </c>
      <c r="E160" s="4">
        <f>IFERROR(__xludf.DUMMYFUNCTION("IF(
  C160="""",
  """",
  N(
    COUNTIF(
      SPLIT(SUBSTITUIR(template!A167,CHAR(10),"",""),"",""),
      C160
    )&gt;0
  )
)
"),0.0)</f>
        <v>0</v>
      </c>
    </row>
    <row r="161">
      <c r="A161" s="3" t="s">
        <v>351</v>
      </c>
      <c r="B161" s="3" t="s">
        <v>352</v>
      </c>
      <c r="C161" s="3" t="s">
        <v>362</v>
      </c>
      <c r="D161" s="3" t="s">
        <v>363</v>
      </c>
      <c r="E161" s="4">
        <f>IFERROR(__xludf.DUMMYFUNCTION("IF(
  C161="""",
  """",
  N(
    COUNTIF(
      SPLIT(SUBSTITUIR(template!A168,CHAR(10),"",""),"",""),
      C161
    )&gt;0
  )
)
"),0.0)</f>
        <v>0</v>
      </c>
    </row>
    <row r="162">
      <c r="A162" s="3" t="s">
        <v>351</v>
      </c>
      <c r="B162" s="3" t="s">
        <v>352</v>
      </c>
      <c r="C162" s="3" t="s">
        <v>364</v>
      </c>
      <c r="D162" s="3" t="s">
        <v>365</v>
      </c>
      <c r="E162" s="4">
        <f>IFERROR(__xludf.DUMMYFUNCTION("IF(
  C162="""",
  """",
  N(
    COUNTIF(
      SPLIT(SUBSTITUIR(template!A169,CHAR(10),"",""),"",""),
      C162
    )&gt;0
  )
)
"),0.0)</f>
        <v>0</v>
      </c>
    </row>
    <row r="163">
      <c r="A163" s="3" t="s">
        <v>351</v>
      </c>
      <c r="B163" s="3" t="s">
        <v>366</v>
      </c>
      <c r="C163" s="3" t="s">
        <v>367</v>
      </c>
      <c r="D163" s="3" t="s">
        <v>368</v>
      </c>
      <c r="E163" s="4">
        <f>IFERROR(__xludf.DUMMYFUNCTION("IF(
  C163="""",
  """",
  N(
    COUNTIF(
      SPLIT(SUBSTITUIR(template!A170,CHAR(10),"",""),"",""),
      C163
    )&gt;0
  )
)
"),0.0)</f>
        <v>0</v>
      </c>
    </row>
    <row r="164">
      <c r="A164" s="3" t="s">
        <v>351</v>
      </c>
      <c r="B164" s="3" t="s">
        <v>366</v>
      </c>
      <c r="C164" s="3" t="s">
        <v>369</v>
      </c>
      <c r="D164" s="3" t="s">
        <v>370</v>
      </c>
      <c r="E164" s="4">
        <f>IFERROR(__xludf.DUMMYFUNCTION("IF(
  C164="""",
  """",
  N(
    COUNTIF(
      SPLIT(SUBSTITUIR(template!A171,CHAR(10),"",""),"",""),
      C164
    )&gt;0
  )
)
"),0.0)</f>
        <v>0</v>
      </c>
    </row>
    <row r="165">
      <c r="A165" s="3" t="s">
        <v>351</v>
      </c>
      <c r="B165" s="3" t="s">
        <v>366</v>
      </c>
      <c r="C165" s="3" t="s">
        <v>371</v>
      </c>
      <c r="D165" s="3" t="s">
        <v>372</v>
      </c>
      <c r="E165" s="4">
        <f>IFERROR(__xludf.DUMMYFUNCTION("IF(
  C165="""",
  """",
  N(
    COUNTIF(
      SPLIT(SUBSTITUIR(template!A172,CHAR(10),"",""),"",""),
      C165
    )&gt;0
  )
)
"),0.0)</f>
        <v>0</v>
      </c>
    </row>
    <row r="166">
      <c r="A166" s="3" t="s">
        <v>351</v>
      </c>
      <c r="B166" s="3" t="s">
        <v>373</v>
      </c>
      <c r="C166" s="3" t="s">
        <v>374</v>
      </c>
      <c r="D166" s="3" t="s">
        <v>375</v>
      </c>
      <c r="E166" s="4">
        <f>IFERROR(__xludf.DUMMYFUNCTION("IF(
  C166="""",
  """",
  N(
    COUNTIF(
      SPLIT(SUBSTITUIR(template!A173,CHAR(10),"",""),"",""),
      C166
    )&gt;0
  )
)
"),0.0)</f>
        <v>0</v>
      </c>
    </row>
    <row r="167">
      <c r="A167" s="3" t="s">
        <v>351</v>
      </c>
      <c r="B167" s="3" t="s">
        <v>373</v>
      </c>
      <c r="C167" s="3" t="s">
        <v>376</v>
      </c>
      <c r="D167" s="3" t="s">
        <v>377</v>
      </c>
      <c r="E167" s="4">
        <f>IFERROR(__xludf.DUMMYFUNCTION("IF(
  C167="""",
  """",
  N(
    COUNTIF(
      SPLIT(SUBSTITUIR(template!A174,CHAR(10),"",""),"",""),
      C167
    )&gt;0
  )
)
"),0.0)</f>
        <v>0</v>
      </c>
    </row>
    <row r="168">
      <c r="A168" s="3" t="s">
        <v>351</v>
      </c>
      <c r="B168" s="3" t="s">
        <v>373</v>
      </c>
      <c r="C168" s="3" t="s">
        <v>378</v>
      </c>
      <c r="D168" s="3" t="s">
        <v>379</v>
      </c>
      <c r="E168" s="4">
        <f>IFERROR(__xludf.DUMMYFUNCTION("IF(
  C168="""",
  """",
  N(
    COUNTIF(
      SPLIT(SUBSTITUIR(template!A175,CHAR(10),"",""),"",""),
      C168
    )&gt;0
  )
)
"),0.0)</f>
        <v>0</v>
      </c>
    </row>
    <row r="169">
      <c r="A169" s="3" t="s">
        <v>351</v>
      </c>
      <c r="B169" s="3" t="s">
        <v>380</v>
      </c>
      <c r="C169" s="3" t="s">
        <v>381</v>
      </c>
      <c r="D169" s="3" t="s">
        <v>382</v>
      </c>
      <c r="E169" s="4">
        <f>IFERROR(__xludf.DUMMYFUNCTION("IF(
  C169="""",
  """",
  N(
    COUNTIF(
      SPLIT(SUBSTITUIR(template!A176,CHAR(10),"",""),"",""),
      C169
    )&gt;0
  )
)
"),0.0)</f>
        <v>0</v>
      </c>
    </row>
    <row r="170">
      <c r="A170" s="3" t="s">
        <v>383</v>
      </c>
      <c r="B170" s="3" t="s">
        <v>384</v>
      </c>
      <c r="C170" s="3" t="s">
        <v>385</v>
      </c>
      <c r="D170" s="3" t="s">
        <v>93</v>
      </c>
      <c r="E170" s="4">
        <f>IFERROR(__xludf.DUMMYFUNCTION("IF(
  C170="""",
  """",
  N(
    COUNTIF(
      SPLIT(SUBSTITUIR(template!A177,CHAR(10),"",""),"",""),
      C170
    )&gt;0
  )
)
"),0.0)</f>
        <v>0</v>
      </c>
    </row>
    <row r="171">
      <c r="A171" s="3" t="s">
        <v>383</v>
      </c>
      <c r="B171" s="3" t="s">
        <v>384</v>
      </c>
      <c r="C171" s="3" t="s">
        <v>386</v>
      </c>
      <c r="D171" s="3" t="s">
        <v>93</v>
      </c>
      <c r="E171" s="4">
        <f>IFERROR(__xludf.DUMMYFUNCTION("IF(
  C171="""",
  """",
  N(
    COUNTIF(
      SPLIT(SUBSTITUIR(template!A178,CHAR(10),"",""),"",""),
      C171
    )&gt;0
  )
)
"),0.0)</f>
        <v>0</v>
      </c>
    </row>
    <row r="172">
      <c r="A172" s="3" t="s">
        <v>383</v>
      </c>
      <c r="B172" s="3" t="s">
        <v>387</v>
      </c>
      <c r="C172" s="3" t="s">
        <v>388</v>
      </c>
      <c r="D172" s="3" t="s">
        <v>93</v>
      </c>
      <c r="E172" s="4">
        <f>IFERROR(__xludf.DUMMYFUNCTION("IF(
  C172="""",
  """",
  N(
    COUNTIF(
      SPLIT(SUBSTITUIR(template!A179,CHAR(10),"",""),"",""),
      C172
    )&gt;0
  )
)
"),0.0)</f>
        <v>0</v>
      </c>
    </row>
    <row r="173">
      <c r="A173" s="3" t="s">
        <v>383</v>
      </c>
      <c r="B173" s="3" t="s">
        <v>387</v>
      </c>
      <c r="C173" s="3" t="s">
        <v>389</v>
      </c>
      <c r="D173" s="3" t="s">
        <v>390</v>
      </c>
      <c r="E173" s="4">
        <f>IFERROR(__xludf.DUMMYFUNCTION("IF(
  C173="""",
  """",
  N(
    COUNTIF(
      SPLIT(SUBSTITUIR(template!A180,CHAR(10),"",""),"",""),
      C173
    )&gt;0
  )
)
"),0.0)</f>
        <v>0</v>
      </c>
    </row>
    <row r="174">
      <c r="A174" s="3" t="s">
        <v>383</v>
      </c>
      <c r="B174" s="3" t="s">
        <v>391</v>
      </c>
      <c r="C174" s="3" t="s">
        <v>392</v>
      </c>
      <c r="D174" s="3" t="s">
        <v>393</v>
      </c>
      <c r="E174" s="4">
        <f>IFERROR(__xludf.DUMMYFUNCTION("IF(
  C174="""",
  """",
  N(
    COUNTIF(
      SPLIT(SUBSTITUIR(template!A181,CHAR(10),"",""),"",""),
      C174
    )&gt;0
  )
)
"),0.0)</f>
        <v>0</v>
      </c>
    </row>
    <row r="175">
      <c r="A175" s="3" t="s">
        <v>383</v>
      </c>
      <c r="B175" s="3" t="s">
        <v>391</v>
      </c>
      <c r="C175" s="3" t="s">
        <v>394</v>
      </c>
      <c r="D175" s="3" t="s">
        <v>395</v>
      </c>
      <c r="E175" s="4">
        <f>IFERROR(__xludf.DUMMYFUNCTION("IF(
  C175="""",
  """",
  N(
    COUNTIF(
      SPLIT(SUBSTITUIR(template!A182,CHAR(10),"",""),"",""),
      C175
    )&gt;0
  )
)
"),0.0)</f>
        <v>0</v>
      </c>
    </row>
    <row r="176">
      <c r="A176" s="3" t="s">
        <v>383</v>
      </c>
      <c r="B176" s="3" t="s">
        <v>391</v>
      </c>
      <c r="C176" s="3" t="s">
        <v>396</v>
      </c>
      <c r="D176" s="3" t="s">
        <v>397</v>
      </c>
      <c r="E176" s="4">
        <f>IFERROR(__xludf.DUMMYFUNCTION("IF(
  C176="""",
  """",
  N(
    COUNTIF(
      SPLIT(SUBSTITUIR(template!A183,CHAR(10),"",""),"",""),
      C176
    )&gt;0
  )
)
"),0.0)</f>
        <v>0</v>
      </c>
    </row>
    <row r="177">
      <c r="A177" s="3" t="s">
        <v>383</v>
      </c>
      <c r="B177" s="3" t="s">
        <v>391</v>
      </c>
      <c r="C177" s="3" t="s">
        <v>398</v>
      </c>
      <c r="D177" s="3" t="s">
        <v>399</v>
      </c>
      <c r="E177" s="4">
        <f>IFERROR(__xludf.DUMMYFUNCTION("IF(
  C177="""",
  """",
  N(
    COUNTIF(
      SPLIT(SUBSTITUIR(template!A184,CHAR(10),"",""),"",""),
      C177
    )&gt;0
  )
)
"),0.0)</f>
        <v>0</v>
      </c>
    </row>
    <row r="178">
      <c r="A178" s="3" t="s">
        <v>383</v>
      </c>
      <c r="B178" s="3" t="s">
        <v>391</v>
      </c>
      <c r="C178" s="3" t="s">
        <v>400</v>
      </c>
      <c r="D178" s="3" t="s">
        <v>401</v>
      </c>
      <c r="E178" s="4">
        <f>IFERROR(__xludf.DUMMYFUNCTION("IF(
  C178="""",
  """",
  N(
    COUNTIF(
      SPLIT(SUBSTITUIR(template!A185,CHAR(10),"",""),"",""),
      C178
    )&gt;0
  )
)
"),0.0)</f>
        <v>0</v>
      </c>
    </row>
    <row r="179">
      <c r="A179" s="3" t="s">
        <v>383</v>
      </c>
      <c r="B179" s="3" t="s">
        <v>391</v>
      </c>
      <c r="C179" s="3" t="s">
        <v>402</v>
      </c>
      <c r="D179" s="3" t="s">
        <v>403</v>
      </c>
      <c r="E179" s="4">
        <f>IFERROR(__xludf.DUMMYFUNCTION("IF(
  C179="""",
  """",
  N(
    COUNTIF(
      SPLIT(SUBSTITUIR(template!A186,CHAR(10),"",""),"",""),
      C179
    )&gt;0
  )
)
"),0.0)</f>
        <v>0</v>
      </c>
    </row>
    <row r="180">
      <c r="A180" s="3" t="s">
        <v>383</v>
      </c>
      <c r="B180" s="3" t="s">
        <v>391</v>
      </c>
      <c r="C180" s="3" t="s">
        <v>404</v>
      </c>
      <c r="D180" s="3" t="s">
        <v>405</v>
      </c>
      <c r="E180" s="4">
        <f>IFERROR(__xludf.DUMMYFUNCTION("IF(
  C180="""",
  """",
  N(
    COUNTIF(
      SPLIT(SUBSTITUIR(template!A187,CHAR(10),"",""),"",""),
      C180
    )&gt;0
  )
)
"),0.0)</f>
        <v>0</v>
      </c>
    </row>
    <row r="181">
      <c r="A181" s="3" t="s">
        <v>406</v>
      </c>
      <c r="B181" s="3" t="s">
        <v>407</v>
      </c>
      <c r="C181" s="3" t="s">
        <v>408</v>
      </c>
      <c r="D181" s="3" t="s">
        <v>409</v>
      </c>
      <c r="E181" s="4">
        <f>IFERROR(__xludf.DUMMYFUNCTION("IF(
  C181="""",
  """",
  N(
    COUNTIF(
      SPLIT(SUBSTITUIR(template!A188,CHAR(10),"",""),"",""),
      C181
    )&gt;0
  )
)
"),0.0)</f>
        <v>0</v>
      </c>
    </row>
    <row r="182">
      <c r="A182" s="3" t="s">
        <v>406</v>
      </c>
      <c r="B182" s="3" t="s">
        <v>407</v>
      </c>
      <c r="C182" s="3" t="s">
        <v>410</v>
      </c>
      <c r="D182" s="3" t="s">
        <v>411</v>
      </c>
      <c r="E182" s="4">
        <f>IFERROR(__xludf.DUMMYFUNCTION("IF(
  C182="""",
  """",
  N(
    COUNTIF(
      SPLIT(SUBSTITUIR(template!A189,CHAR(10),"",""),"",""),
      C182
    )&gt;0
  )
)
"),0.0)</f>
        <v>0</v>
      </c>
    </row>
    <row r="183">
      <c r="A183" s="3" t="s">
        <v>406</v>
      </c>
      <c r="B183" s="3" t="s">
        <v>412</v>
      </c>
      <c r="C183" s="3" t="s">
        <v>413</v>
      </c>
      <c r="D183" s="3" t="s">
        <v>414</v>
      </c>
      <c r="E183" s="4">
        <f>IFERROR(__xludf.DUMMYFUNCTION("IF(
  C183="""",
  """",
  N(
    COUNTIF(
      SPLIT(SUBSTITUIR(template!A190,CHAR(10),"",""),"",""),
      C183
    )&gt;0
  )
)
"),0.0)</f>
        <v>0</v>
      </c>
    </row>
    <row r="184">
      <c r="A184" s="3" t="s">
        <v>406</v>
      </c>
      <c r="B184" s="3" t="s">
        <v>415</v>
      </c>
      <c r="C184" s="3" t="s">
        <v>416</v>
      </c>
      <c r="D184" s="3" t="s">
        <v>417</v>
      </c>
      <c r="E184" s="4">
        <f>IFERROR(__xludf.DUMMYFUNCTION("IF(
  C184="""",
  """",
  N(
    COUNTIF(
      SPLIT(SUBSTITUIR(template!A191,CHAR(10),"",""),"",""),
      C184
    )&gt;0
  )
)
"),0.0)</f>
        <v>0</v>
      </c>
    </row>
    <row r="185">
      <c r="A185" s="3" t="s">
        <v>406</v>
      </c>
      <c r="B185" s="3" t="s">
        <v>418</v>
      </c>
      <c r="C185" s="3" t="s">
        <v>419</v>
      </c>
      <c r="D185" s="3" t="s">
        <v>420</v>
      </c>
      <c r="E185" s="4">
        <f>IFERROR(__xludf.DUMMYFUNCTION("IF(
  C185="""",
  """",
  N(
    COUNTIF(
      SPLIT(SUBSTITUIR(template!A192,CHAR(10),"",""),"",""),
      C185
    )&gt;0
  )
)
"),0.0)</f>
        <v>0</v>
      </c>
    </row>
    <row r="186">
      <c r="A186" s="3" t="s">
        <v>421</v>
      </c>
      <c r="B186" s="3" t="s">
        <v>422</v>
      </c>
      <c r="C186" s="3" t="s">
        <v>423</v>
      </c>
      <c r="D186" s="3" t="s">
        <v>424</v>
      </c>
      <c r="E186" s="4">
        <f>IFERROR(__xludf.DUMMYFUNCTION("IF(
  C186="""",
  """",
  N(
    COUNTIF(
      SPLIT(SUBSTITUIR(template!A193,CHAR(10),"",""),"",""),
      C186
    )&gt;0
  )
)
"),0.0)</f>
        <v>0</v>
      </c>
    </row>
    <row r="187">
      <c r="A187" s="3" t="s">
        <v>421</v>
      </c>
      <c r="B187" s="3" t="s">
        <v>422</v>
      </c>
      <c r="C187" s="3" t="s">
        <v>425</v>
      </c>
      <c r="D187" s="3" t="s">
        <v>426</v>
      </c>
      <c r="E187" s="4">
        <f>IFERROR(__xludf.DUMMYFUNCTION("IF(
  C187="""",
  """",
  N(
    COUNTIF(
      SPLIT(SUBSTITUIR(template!A194,CHAR(10),"",""),"",""),
      C187
    )&gt;0
  )
)
"),0.0)</f>
        <v>0</v>
      </c>
    </row>
    <row r="188">
      <c r="A188" s="3" t="s">
        <v>421</v>
      </c>
      <c r="B188" s="3" t="s">
        <v>422</v>
      </c>
      <c r="C188" s="3" t="s">
        <v>427</v>
      </c>
      <c r="D188" s="3" t="s">
        <v>428</v>
      </c>
      <c r="E188" s="4">
        <f>IFERROR(__xludf.DUMMYFUNCTION("IF(
  C188="""",
  """",
  N(
    COUNTIF(
      SPLIT(SUBSTITUIR(template!A195,CHAR(10),"",""),"",""),
      C188
    )&gt;0
  )
)
"),0.0)</f>
        <v>0</v>
      </c>
    </row>
    <row r="189">
      <c r="A189" s="3" t="s">
        <v>421</v>
      </c>
      <c r="B189" s="3" t="s">
        <v>429</v>
      </c>
      <c r="C189" s="3" t="s">
        <v>430</v>
      </c>
      <c r="D189" s="3" t="s">
        <v>431</v>
      </c>
      <c r="E189" s="4">
        <f>IFERROR(__xludf.DUMMYFUNCTION("IF(
  C189="""",
  """",
  N(
    COUNTIF(
      SPLIT(SUBSTITUIR(template!A196,CHAR(10),"",""),"",""),
      C189
    )&gt;0
  )
)
"),0.0)</f>
        <v>0</v>
      </c>
    </row>
    <row r="190">
      <c r="A190" s="3" t="s">
        <v>421</v>
      </c>
      <c r="B190" s="3" t="s">
        <v>432</v>
      </c>
      <c r="C190" s="3" t="s">
        <v>433</v>
      </c>
      <c r="D190" s="3" t="s">
        <v>434</v>
      </c>
      <c r="E190" s="4">
        <f>IFERROR(__xludf.DUMMYFUNCTION("IF(
  C190="""",
  """",
  N(
    COUNTIF(
      SPLIT(SUBSTITUIR(template!A197,CHAR(10),"",""),"",""),
      C190
    )&gt;0
  )
)
"),0.0)</f>
        <v>0</v>
      </c>
    </row>
    <row r="191">
      <c r="A191" s="3" t="s">
        <v>421</v>
      </c>
      <c r="B191" s="3" t="s">
        <v>432</v>
      </c>
      <c r="C191" s="3" t="s">
        <v>435</v>
      </c>
      <c r="D191" s="3" t="s">
        <v>436</v>
      </c>
      <c r="E191" s="4">
        <f>IFERROR(__xludf.DUMMYFUNCTION("IF(
  C191="""",
  """",
  N(
    COUNTIF(
      SPLIT(SUBSTITUIR(template!A198,CHAR(10),"",""),"",""),
      C191
    )&gt;0
  )
)
"),0.0)</f>
        <v>0</v>
      </c>
    </row>
    <row r="192">
      <c r="A192" s="3" t="s">
        <v>421</v>
      </c>
      <c r="B192" s="3" t="s">
        <v>432</v>
      </c>
      <c r="C192" s="3" t="s">
        <v>437</v>
      </c>
      <c r="D192" s="3" t="s">
        <v>438</v>
      </c>
      <c r="E192" s="4">
        <f>IFERROR(__xludf.DUMMYFUNCTION("IF(
  C192="""",
  """",
  N(
    COUNTIF(
      SPLIT(SUBSTITUIR(template!A199,CHAR(10),"",""),"",""),
      C192
    )&gt;0
  )
)
"),0.0)</f>
        <v>0</v>
      </c>
    </row>
    <row r="193">
      <c r="A193" s="3" t="s">
        <v>421</v>
      </c>
      <c r="B193" s="3" t="s">
        <v>439</v>
      </c>
      <c r="C193" s="3" t="s">
        <v>440</v>
      </c>
      <c r="D193" s="3" t="s">
        <v>441</v>
      </c>
      <c r="E193" s="4">
        <f>IFERROR(__xludf.DUMMYFUNCTION("IF(
  C193="""",
  """",
  N(
    COUNTIF(
      SPLIT(SUBSTITUIR(template!A200,CHAR(10),"",""),"",""),
      C193
    )&gt;0
  )
)
"),0.0)</f>
        <v>0</v>
      </c>
    </row>
    <row r="194">
      <c r="A194" s="3" t="s">
        <v>421</v>
      </c>
      <c r="B194" s="3" t="s">
        <v>439</v>
      </c>
      <c r="C194" s="3" t="s">
        <v>442</v>
      </c>
      <c r="D194" s="3" t="s">
        <v>443</v>
      </c>
      <c r="E194" s="4">
        <f>IFERROR(__xludf.DUMMYFUNCTION("IF(
  C194="""",
  """",
  N(
    COUNTIF(
      SPLIT(SUBSTITUIR(template!A201,CHAR(10),"",""),"",""),
      C194
    )&gt;0
  )
)
"),0.0)</f>
        <v>0</v>
      </c>
    </row>
    <row r="195">
      <c r="A195" s="3" t="s">
        <v>421</v>
      </c>
      <c r="B195" s="3" t="s">
        <v>439</v>
      </c>
      <c r="C195" s="3" t="s">
        <v>444</v>
      </c>
      <c r="D195" s="3" t="s">
        <v>445</v>
      </c>
      <c r="E195" s="4">
        <f>IFERROR(__xludf.DUMMYFUNCTION("IF(
  C195="""",
  """",
  N(
    COUNTIF(
      SPLIT(SUBSTITUIR(template!A202,CHAR(10),"",""),"",""),
      C195
    )&gt;0
  )
)
"),0.0)</f>
        <v>0</v>
      </c>
    </row>
    <row r="196">
      <c r="A196" s="3" t="s">
        <v>421</v>
      </c>
      <c r="B196" s="3" t="s">
        <v>439</v>
      </c>
      <c r="C196" s="3" t="s">
        <v>446</v>
      </c>
      <c r="D196" s="3" t="s">
        <v>447</v>
      </c>
      <c r="E196" s="4">
        <f>IFERROR(__xludf.DUMMYFUNCTION("IF(
  C196="""",
  """",
  N(
    COUNTIF(
      SPLIT(SUBSTITUIR(template!A203,CHAR(10),"",""),"",""),
      C196
    )&gt;0
  )
)
"),0.0)</f>
        <v>0</v>
      </c>
    </row>
    <row r="197">
      <c r="A197" s="3" t="s">
        <v>421</v>
      </c>
      <c r="B197" s="3" t="s">
        <v>439</v>
      </c>
      <c r="C197" s="3" t="s">
        <v>448</v>
      </c>
      <c r="D197" s="3" t="s">
        <v>449</v>
      </c>
      <c r="E197" s="4">
        <f>IFERROR(__xludf.DUMMYFUNCTION("IF(
  C197="""",
  """",
  N(
    COUNTIF(
      SPLIT(SUBSTITUIR(template!A204,CHAR(10),"",""),"",""),
      C197
    )&gt;0
  )
)
"),0.0)</f>
        <v>0</v>
      </c>
    </row>
    <row r="198">
      <c r="A198" s="3" t="s">
        <v>421</v>
      </c>
      <c r="B198" s="3" t="s">
        <v>439</v>
      </c>
      <c r="C198" s="3" t="s">
        <v>450</v>
      </c>
      <c r="D198" s="3" t="s">
        <v>451</v>
      </c>
      <c r="E198" s="4">
        <f>IFERROR(__xludf.DUMMYFUNCTION("IF(
  C198="""",
  """",
  N(
    COUNTIF(
      SPLIT(SUBSTITUIR(template!A205,CHAR(10),"",""),"",""),
      C198
    )&gt;0
  )
)
"),0.0)</f>
        <v>0</v>
      </c>
    </row>
    <row r="199">
      <c r="A199" s="3" t="s">
        <v>421</v>
      </c>
      <c r="B199" s="3" t="s">
        <v>439</v>
      </c>
      <c r="C199" s="3" t="s">
        <v>452</v>
      </c>
      <c r="D199" s="3" t="s">
        <v>453</v>
      </c>
      <c r="E199" s="4">
        <f>IFERROR(__xludf.DUMMYFUNCTION("IF(
  C199="""",
  """",
  N(
    COUNTIF(
      SPLIT(SUBSTITUIR(template!A206,CHAR(10),"",""),"",""),
      C199
    )&gt;0
  )
)
"),0.0)</f>
        <v>0</v>
      </c>
    </row>
    <row r="200">
      <c r="A200" s="3" t="s">
        <v>421</v>
      </c>
      <c r="B200" s="3" t="s">
        <v>439</v>
      </c>
      <c r="C200" s="3" t="s">
        <v>454</v>
      </c>
      <c r="D200" s="3" t="s">
        <v>455</v>
      </c>
      <c r="E200" s="4">
        <f>IFERROR(__xludf.DUMMYFUNCTION("IF(
  C200="""",
  """",
  N(
    COUNTIF(
      SPLIT(SUBSTITUIR(template!A207,CHAR(10),"",""),"",""),
      C200
    )&gt;0
  )
)
"),0.0)</f>
        <v>0</v>
      </c>
    </row>
    <row r="201">
      <c r="A201" s="3" t="s">
        <v>421</v>
      </c>
      <c r="B201" s="3" t="s">
        <v>439</v>
      </c>
      <c r="C201" s="3" t="s">
        <v>456</v>
      </c>
      <c r="D201" s="3" t="s">
        <v>457</v>
      </c>
      <c r="E201" s="4">
        <f>IFERROR(__xludf.DUMMYFUNCTION("IF(
  C201="""",
  """",
  N(
    COUNTIF(
      SPLIT(SUBSTITUIR(template!A208,CHAR(10),"",""),"",""),
      C201
    )&gt;0
  )
)
"),0.0)</f>
        <v>0</v>
      </c>
    </row>
  </sheetData>
  <hyperlinks>
    <hyperlink r:id="rId1" ref="A1"/>
    <hyperlink r:id="rId2" ref="A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2.38"/>
    <col customWidth="1" min="3" max="3" width="38.5"/>
    <col customWidth="1" min="4" max="4" width="54.5"/>
  </cols>
  <sheetData>
    <row r="1">
      <c r="A1" s="5" t="s">
        <v>458</v>
      </c>
      <c r="B1" s="3"/>
      <c r="C1" s="3"/>
      <c r="D1" s="3"/>
    </row>
    <row r="2">
      <c r="A2" s="3" t="s">
        <v>2</v>
      </c>
      <c r="B2" s="3" t="s">
        <v>3</v>
      </c>
      <c r="C2" s="3" t="s">
        <v>4</v>
      </c>
      <c r="D2" s="3" t="s">
        <v>5</v>
      </c>
    </row>
    <row r="3">
      <c r="A3" s="3" t="s">
        <v>459</v>
      </c>
      <c r="B3" s="3" t="s">
        <v>460</v>
      </c>
      <c r="C3" s="3" t="s">
        <v>461</v>
      </c>
    </row>
    <row r="4">
      <c r="A4" s="3" t="s">
        <v>459</v>
      </c>
      <c r="B4" s="3" t="s">
        <v>460</v>
      </c>
      <c r="C4" s="3" t="s">
        <v>462</v>
      </c>
      <c r="D4" s="3" t="s">
        <v>463</v>
      </c>
    </row>
    <row r="5">
      <c r="A5" s="3" t="s">
        <v>459</v>
      </c>
      <c r="B5" s="3" t="s">
        <v>460</v>
      </c>
      <c r="C5" s="3" t="s">
        <v>464</v>
      </c>
      <c r="D5" s="3" t="s">
        <v>465</v>
      </c>
    </row>
    <row r="6">
      <c r="A6" s="3" t="s">
        <v>459</v>
      </c>
      <c r="B6" s="3" t="s">
        <v>460</v>
      </c>
      <c r="C6" s="3" t="s">
        <v>466</v>
      </c>
    </row>
    <row r="7">
      <c r="A7" s="3" t="s">
        <v>459</v>
      </c>
      <c r="B7" s="3" t="s">
        <v>460</v>
      </c>
      <c r="C7" s="3" t="s">
        <v>467</v>
      </c>
    </row>
    <row r="8">
      <c r="A8" s="3" t="s">
        <v>459</v>
      </c>
      <c r="B8" s="3" t="s">
        <v>460</v>
      </c>
      <c r="C8" s="3" t="s">
        <v>468</v>
      </c>
      <c r="D8" s="3" t="s">
        <v>469</v>
      </c>
    </row>
    <row r="9">
      <c r="A9" s="3" t="s">
        <v>459</v>
      </c>
      <c r="B9" s="3" t="s">
        <v>460</v>
      </c>
      <c r="C9" s="3" t="s">
        <v>470</v>
      </c>
      <c r="D9" s="3" t="s">
        <v>471</v>
      </c>
    </row>
    <row r="10">
      <c r="A10" s="3" t="s">
        <v>459</v>
      </c>
      <c r="B10" s="3" t="s">
        <v>460</v>
      </c>
      <c r="C10" s="3" t="s">
        <v>472</v>
      </c>
      <c r="D10" s="3" t="s">
        <v>473</v>
      </c>
    </row>
    <row r="11">
      <c r="A11" s="3" t="s">
        <v>459</v>
      </c>
      <c r="B11" s="3" t="s">
        <v>460</v>
      </c>
      <c r="C11" s="3" t="s">
        <v>474</v>
      </c>
      <c r="D11" s="3" t="s">
        <v>475</v>
      </c>
    </row>
    <row r="12">
      <c r="A12" s="3" t="s">
        <v>459</v>
      </c>
      <c r="B12" s="3" t="s">
        <v>476</v>
      </c>
      <c r="C12" s="3" t="s">
        <v>477</v>
      </c>
      <c r="D12" s="3" t="s">
        <v>478</v>
      </c>
    </row>
    <row r="13">
      <c r="A13" s="3" t="s">
        <v>459</v>
      </c>
      <c r="B13" s="3" t="s">
        <v>476</v>
      </c>
      <c r="C13" s="3" t="s">
        <v>479</v>
      </c>
      <c r="D13" s="3" t="s">
        <v>480</v>
      </c>
    </row>
    <row r="14">
      <c r="A14" s="3" t="s">
        <v>481</v>
      </c>
      <c r="B14" s="3" t="s">
        <v>482</v>
      </c>
      <c r="C14" s="3" t="s">
        <v>483</v>
      </c>
      <c r="D14" s="3" t="s">
        <v>484</v>
      </c>
    </row>
    <row r="15">
      <c r="A15" s="3" t="s">
        <v>481</v>
      </c>
      <c r="B15" s="3" t="s">
        <v>482</v>
      </c>
      <c r="C15" s="3" t="s">
        <v>483</v>
      </c>
      <c r="D15" s="3" t="s">
        <v>485</v>
      </c>
    </row>
    <row r="16">
      <c r="A16" s="3" t="s">
        <v>481</v>
      </c>
      <c r="B16" s="3" t="s">
        <v>482</v>
      </c>
      <c r="C16" s="3" t="s">
        <v>483</v>
      </c>
      <c r="D16" s="3" t="s">
        <v>486</v>
      </c>
    </row>
    <row r="17">
      <c r="A17" s="3" t="s">
        <v>481</v>
      </c>
      <c r="B17" s="3" t="s">
        <v>482</v>
      </c>
      <c r="C17" s="3" t="s">
        <v>487</v>
      </c>
      <c r="D17" s="3" t="s">
        <v>488</v>
      </c>
    </row>
    <row r="18">
      <c r="A18" s="3" t="s">
        <v>481</v>
      </c>
      <c r="B18" s="3" t="s">
        <v>482</v>
      </c>
      <c r="C18" s="3" t="s">
        <v>487</v>
      </c>
      <c r="D18" s="3" t="s">
        <v>489</v>
      </c>
    </row>
    <row r="19">
      <c r="A19" s="3" t="s">
        <v>481</v>
      </c>
      <c r="B19" s="3" t="s">
        <v>482</v>
      </c>
      <c r="C19" s="3" t="s">
        <v>487</v>
      </c>
      <c r="D19" s="3" t="s">
        <v>490</v>
      </c>
    </row>
    <row r="20">
      <c r="A20" s="3" t="s">
        <v>481</v>
      </c>
      <c r="B20" s="3" t="s">
        <v>482</v>
      </c>
      <c r="C20" s="3" t="s">
        <v>491</v>
      </c>
      <c r="D20" s="3" t="s">
        <v>492</v>
      </c>
    </row>
    <row r="21">
      <c r="A21" s="3" t="s">
        <v>481</v>
      </c>
      <c r="B21" s="3" t="s">
        <v>482</v>
      </c>
      <c r="C21" s="3" t="s">
        <v>491</v>
      </c>
      <c r="D21" s="3" t="s">
        <v>493</v>
      </c>
    </row>
    <row r="22">
      <c r="A22" s="3" t="s">
        <v>481</v>
      </c>
      <c r="B22" s="3" t="s">
        <v>482</v>
      </c>
      <c r="C22" s="3" t="s">
        <v>491</v>
      </c>
      <c r="D22" s="3" t="s">
        <v>494</v>
      </c>
    </row>
    <row r="23">
      <c r="A23" s="3" t="s">
        <v>481</v>
      </c>
      <c r="B23" s="3" t="s">
        <v>482</v>
      </c>
      <c r="C23" s="3" t="s">
        <v>495</v>
      </c>
      <c r="D23" s="3" t="s">
        <v>496</v>
      </c>
    </row>
    <row r="24">
      <c r="A24" s="3" t="s">
        <v>481</v>
      </c>
      <c r="B24" s="3" t="s">
        <v>482</v>
      </c>
      <c r="C24" s="3" t="s">
        <v>495</v>
      </c>
      <c r="D24" s="3" t="s">
        <v>497</v>
      </c>
    </row>
    <row r="25">
      <c r="A25" s="3" t="s">
        <v>481</v>
      </c>
      <c r="B25" s="3" t="s">
        <v>482</v>
      </c>
      <c r="C25" s="3" t="s">
        <v>495</v>
      </c>
      <c r="D25" s="3" t="s">
        <v>498</v>
      </c>
    </row>
    <row r="26">
      <c r="A26" s="3" t="s">
        <v>481</v>
      </c>
      <c r="B26" s="3" t="s">
        <v>482</v>
      </c>
      <c r="C26" s="3" t="s">
        <v>495</v>
      </c>
      <c r="D26" s="3" t="s">
        <v>499</v>
      </c>
    </row>
    <row r="27">
      <c r="A27" s="3" t="s">
        <v>481</v>
      </c>
      <c r="B27" s="3" t="s">
        <v>482</v>
      </c>
      <c r="C27" s="3" t="s">
        <v>495</v>
      </c>
      <c r="D27" s="3" t="s">
        <v>500</v>
      </c>
    </row>
    <row r="28">
      <c r="A28" s="3" t="s">
        <v>481</v>
      </c>
      <c r="B28" s="3" t="s">
        <v>501</v>
      </c>
      <c r="C28" s="3" t="s">
        <v>479</v>
      </c>
      <c r="D28" s="3" t="s">
        <v>502</v>
      </c>
    </row>
    <row r="29">
      <c r="A29" s="3" t="s">
        <v>481</v>
      </c>
      <c r="B29" s="3" t="s">
        <v>503</v>
      </c>
      <c r="C29" s="3" t="s">
        <v>504</v>
      </c>
      <c r="D29" s="3" t="s">
        <v>505</v>
      </c>
    </row>
    <row r="30">
      <c r="A30" s="3" t="s">
        <v>481</v>
      </c>
      <c r="B30" s="3" t="s">
        <v>503</v>
      </c>
      <c r="C30" s="3" t="s">
        <v>506</v>
      </c>
      <c r="D30" s="3" t="s">
        <v>507</v>
      </c>
    </row>
    <row r="31">
      <c r="A31" s="3" t="s">
        <v>481</v>
      </c>
      <c r="B31" s="3" t="s">
        <v>503</v>
      </c>
      <c r="C31" s="3" t="s">
        <v>508</v>
      </c>
      <c r="D31" s="3" t="s">
        <v>509</v>
      </c>
    </row>
    <row r="32">
      <c r="A32" s="3" t="s">
        <v>481</v>
      </c>
      <c r="B32" s="3" t="s">
        <v>503</v>
      </c>
      <c r="C32" s="3" t="s">
        <v>510</v>
      </c>
      <c r="D32" s="3" t="s">
        <v>511</v>
      </c>
    </row>
    <row r="33">
      <c r="A33" s="3" t="s">
        <v>481</v>
      </c>
      <c r="B33" s="3" t="s">
        <v>503</v>
      </c>
      <c r="C33" s="3" t="s">
        <v>512</v>
      </c>
      <c r="D33" s="3" t="s">
        <v>513</v>
      </c>
    </row>
    <row r="34">
      <c r="A34" s="3" t="s">
        <v>481</v>
      </c>
      <c r="B34" s="3" t="s">
        <v>514</v>
      </c>
      <c r="C34" s="3" t="s">
        <v>515</v>
      </c>
      <c r="D34" s="3" t="s">
        <v>516</v>
      </c>
    </row>
    <row r="35">
      <c r="A35" s="3" t="s">
        <v>481</v>
      </c>
      <c r="B35" s="3" t="s">
        <v>514</v>
      </c>
      <c r="C35" s="3" t="s">
        <v>508</v>
      </c>
      <c r="D35" s="3" t="s">
        <v>517</v>
      </c>
    </row>
    <row r="36">
      <c r="A36" s="3" t="s">
        <v>481</v>
      </c>
      <c r="B36" s="3" t="s">
        <v>514</v>
      </c>
      <c r="C36" s="3" t="s">
        <v>510</v>
      </c>
      <c r="D36" s="3" t="s">
        <v>518</v>
      </c>
    </row>
    <row r="37">
      <c r="A37" s="3" t="s">
        <v>481</v>
      </c>
      <c r="B37" s="3" t="s">
        <v>514</v>
      </c>
      <c r="C37" s="3" t="s">
        <v>512</v>
      </c>
      <c r="D37" s="3" t="s">
        <v>519</v>
      </c>
    </row>
    <row r="38">
      <c r="A38" s="3" t="s">
        <v>481</v>
      </c>
      <c r="B38" s="3" t="s">
        <v>514</v>
      </c>
      <c r="C38" s="3" t="s">
        <v>520</v>
      </c>
      <c r="D38" s="3" t="s">
        <v>521</v>
      </c>
    </row>
    <row r="39">
      <c r="A39" s="3" t="s">
        <v>481</v>
      </c>
      <c r="B39" s="3" t="s">
        <v>522</v>
      </c>
      <c r="C39" s="3" t="s">
        <v>523</v>
      </c>
      <c r="D39" s="3" t="s">
        <v>524</v>
      </c>
    </row>
    <row r="40">
      <c r="A40" s="3" t="s">
        <v>481</v>
      </c>
      <c r="B40" s="3" t="s">
        <v>522</v>
      </c>
      <c r="C40" s="3" t="s">
        <v>525</v>
      </c>
      <c r="D40" s="3" t="s">
        <v>526</v>
      </c>
    </row>
    <row r="41">
      <c r="A41" s="3" t="s">
        <v>481</v>
      </c>
      <c r="B41" s="3" t="s">
        <v>522</v>
      </c>
      <c r="C41" s="3" t="s">
        <v>527</v>
      </c>
      <c r="D41" s="3" t="s">
        <v>528</v>
      </c>
    </row>
    <row r="42">
      <c r="A42" s="3" t="s">
        <v>481</v>
      </c>
      <c r="B42" s="3" t="s">
        <v>522</v>
      </c>
      <c r="C42" s="3" t="s">
        <v>529</v>
      </c>
      <c r="D42" s="3" t="s">
        <v>530</v>
      </c>
    </row>
    <row r="43">
      <c r="A43" s="3" t="s">
        <v>481</v>
      </c>
      <c r="B43" s="3" t="s">
        <v>522</v>
      </c>
      <c r="C43" s="3" t="s">
        <v>531</v>
      </c>
      <c r="D43" s="3" t="s">
        <v>532</v>
      </c>
    </row>
    <row r="44">
      <c r="A44" s="3" t="s">
        <v>481</v>
      </c>
      <c r="B44" s="3" t="s">
        <v>522</v>
      </c>
      <c r="C44" s="3" t="s">
        <v>533</v>
      </c>
      <c r="D44" s="3" t="s">
        <v>534</v>
      </c>
    </row>
    <row r="45">
      <c r="A45" s="3" t="s">
        <v>481</v>
      </c>
      <c r="B45" s="3" t="s">
        <v>522</v>
      </c>
      <c r="C45" s="3" t="s">
        <v>535</v>
      </c>
      <c r="D45" s="3" t="s">
        <v>536</v>
      </c>
    </row>
    <row r="46">
      <c r="A46" s="3" t="s">
        <v>481</v>
      </c>
      <c r="B46" s="3" t="s">
        <v>522</v>
      </c>
      <c r="C46" s="3" t="s">
        <v>537</v>
      </c>
      <c r="D46" s="3" t="s">
        <v>538</v>
      </c>
    </row>
    <row r="47">
      <c r="A47" s="3" t="s">
        <v>481</v>
      </c>
      <c r="B47" s="3" t="s">
        <v>539</v>
      </c>
      <c r="C47" s="3" t="s">
        <v>540</v>
      </c>
      <c r="D47" s="3" t="s">
        <v>541</v>
      </c>
    </row>
    <row r="48">
      <c r="A48" s="3" t="s">
        <v>481</v>
      </c>
      <c r="B48" s="3" t="s">
        <v>539</v>
      </c>
      <c r="C48" s="3" t="s">
        <v>542</v>
      </c>
      <c r="D48" s="3" t="s">
        <v>543</v>
      </c>
    </row>
    <row r="49">
      <c r="A49" s="3" t="s">
        <v>481</v>
      </c>
      <c r="B49" s="3" t="s">
        <v>544</v>
      </c>
      <c r="C49" s="3" t="s">
        <v>545</v>
      </c>
      <c r="D49" s="3" t="s">
        <v>546</v>
      </c>
    </row>
    <row r="50">
      <c r="A50" s="3" t="s">
        <v>481</v>
      </c>
      <c r="B50" s="3" t="s">
        <v>544</v>
      </c>
      <c r="C50" s="3" t="s">
        <v>547</v>
      </c>
      <c r="D50" s="3" t="s">
        <v>548</v>
      </c>
    </row>
    <row r="51">
      <c r="A51" s="3" t="s">
        <v>549</v>
      </c>
      <c r="B51" s="3" t="s">
        <v>550</v>
      </c>
      <c r="C51" s="3" t="s">
        <v>551</v>
      </c>
      <c r="D51" s="3" t="s">
        <v>552</v>
      </c>
    </row>
    <row r="52">
      <c r="A52" s="3" t="s">
        <v>549</v>
      </c>
      <c r="B52" s="3" t="s">
        <v>550</v>
      </c>
      <c r="C52" s="3" t="s">
        <v>553</v>
      </c>
      <c r="D52" s="3" t="s">
        <v>554</v>
      </c>
    </row>
    <row r="53">
      <c r="A53" s="3" t="s">
        <v>549</v>
      </c>
      <c r="B53" s="3" t="s">
        <v>550</v>
      </c>
      <c r="C53" s="3" t="s">
        <v>555</v>
      </c>
      <c r="D53" s="3" t="s">
        <v>556</v>
      </c>
    </row>
    <row r="54">
      <c r="A54" s="3" t="s">
        <v>549</v>
      </c>
      <c r="B54" s="3" t="s">
        <v>550</v>
      </c>
      <c r="C54" s="3" t="s">
        <v>557</v>
      </c>
      <c r="D54" s="3" t="s">
        <v>558</v>
      </c>
    </row>
    <row r="55">
      <c r="A55" s="3" t="s">
        <v>549</v>
      </c>
      <c r="B55" s="3" t="s">
        <v>550</v>
      </c>
      <c r="C55" s="3" t="s">
        <v>559</v>
      </c>
      <c r="D55" s="3" t="s">
        <v>560</v>
      </c>
    </row>
    <row r="56">
      <c r="A56" s="3" t="s">
        <v>549</v>
      </c>
      <c r="B56" s="3" t="s">
        <v>550</v>
      </c>
      <c r="C56" s="3" t="s">
        <v>561</v>
      </c>
      <c r="D56" s="3" t="s">
        <v>562</v>
      </c>
    </row>
    <row r="57">
      <c r="A57" s="3" t="s">
        <v>549</v>
      </c>
      <c r="B57" s="3" t="s">
        <v>550</v>
      </c>
      <c r="C57" s="3" t="s">
        <v>563</v>
      </c>
      <c r="D57" s="3" t="s">
        <v>564</v>
      </c>
    </row>
    <row r="58">
      <c r="A58" s="3" t="s">
        <v>549</v>
      </c>
      <c r="B58" s="3" t="s">
        <v>565</v>
      </c>
      <c r="C58" s="3" t="s">
        <v>566</v>
      </c>
      <c r="D58" s="3" t="s">
        <v>567</v>
      </c>
    </row>
    <row r="59">
      <c r="A59" s="3" t="s">
        <v>549</v>
      </c>
      <c r="B59" s="3" t="s">
        <v>565</v>
      </c>
      <c r="C59" s="3" t="s">
        <v>568</v>
      </c>
      <c r="D59" s="3" t="s">
        <v>569</v>
      </c>
    </row>
    <row r="60">
      <c r="A60" s="3" t="s">
        <v>549</v>
      </c>
      <c r="B60" s="3" t="s">
        <v>565</v>
      </c>
      <c r="C60" s="3" t="s">
        <v>568</v>
      </c>
      <c r="D60" s="3" t="s">
        <v>570</v>
      </c>
    </row>
    <row r="61">
      <c r="A61" s="3" t="s">
        <v>549</v>
      </c>
      <c r="B61" s="3" t="s">
        <v>571</v>
      </c>
      <c r="C61" s="3" t="s">
        <v>572</v>
      </c>
      <c r="D61" s="3" t="s">
        <v>573</v>
      </c>
    </row>
    <row r="62">
      <c r="A62" s="3" t="s">
        <v>549</v>
      </c>
      <c r="B62" s="3" t="s">
        <v>571</v>
      </c>
      <c r="C62" s="3" t="s">
        <v>508</v>
      </c>
      <c r="D62" s="3" t="s">
        <v>574</v>
      </c>
    </row>
    <row r="63">
      <c r="A63" s="3" t="s">
        <v>549</v>
      </c>
      <c r="B63" s="3" t="s">
        <v>571</v>
      </c>
      <c r="C63" s="3" t="s">
        <v>575</v>
      </c>
      <c r="D63" s="3" t="s">
        <v>576</v>
      </c>
    </row>
    <row r="64">
      <c r="A64" s="3" t="s">
        <v>549</v>
      </c>
      <c r="B64" s="3" t="s">
        <v>571</v>
      </c>
      <c r="C64" s="3" t="s">
        <v>577</v>
      </c>
      <c r="D64" s="3" t="s">
        <v>578</v>
      </c>
    </row>
    <row r="65">
      <c r="A65" s="3" t="s">
        <v>549</v>
      </c>
      <c r="B65" s="3" t="s">
        <v>571</v>
      </c>
      <c r="C65" s="3" t="s">
        <v>579</v>
      </c>
      <c r="D65" s="3" t="s">
        <v>580</v>
      </c>
    </row>
    <row r="66">
      <c r="A66" s="3" t="s">
        <v>549</v>
      </c>
      <c r="B66" s="3" t="s">
        <v>571</v>
      </c>
      <c r="C66" s="3" t="s">
        <v>581</v>
      </c>
      <c r="D66" s="3" t="s">
        <v>582</v>
      </c>
    </row>
    <row r="67">
      <c r="A67" s="3" t="s">
        <v>549</v>
      </c>
      <c r="B67" s="3" t="s">
        <v>583</v>
      </c>
      <c r="C67" s="3" t="s">
        <v>584</v>
      </c>
      <c r="D67" s="3" t="s">
        <v>585</v>
      </c>
    </row>
    <row r="68">
      <c r="A68" s="3" t="s">
        <v>549</v>
      </c>
      <c r="B68" s="3" t="s">
        <v>586</v>
      </c>
      <c r="C68" s="3" t="s">
        <v>587</v>
      </c>
      <c r="D68" s="3" t="s">
        <v>588</v>
      </c>
    </row>
    <row r="69">
      <c r="A69" s="3" t="s">
        <v>549</v>
      </c>
      <c r="B69" s="3" t="s">
        <v>586</v>
      </c>
      <c r="C69" s="3" t="s">
        <v>589</v>
      </c>
      <c r="D69" s="3" t="s">
        <v>590</v>
      </c>
    </row>
    <row r="70">
      <c r="A70" s="3" t="s">
        <v>549</v>
      </c>
      <c r="B70" s="3" t="s">
        <v>586</v>
      </c>
      <c r="C70" s="3" t="s">
        <v>591</v>
      </c>
      <c r="D70" s="3" t="s">
        <v>592</v>
      </c>
    </row>
    <row r="71">
      <c r="A71" s="3" t="s">
        <v>549</v>
      </c>
      <c r="B71" s="3" t="s">
        <v>586</v>
      </c>
      <c r="C71" s="3" t="s">
        <v>593</v>
      </c>
      <c r="D71" s="3" t="s">
        <v>594</v>
      </c>
    </row>
    <row r="72">
      <c r="A72" s="3" t="s">
        <v>549</v>
      </c>
      <c r="B72" s="3" t="s">
        <v>586</v>
      </c>
      <c r="C72" s="3" t="s">
        <v>595</v>
      </c>
      <c r="D72" s="3" t="s">
        <v>596</v>
      </c>
    </row>
    <row r="73">
      <c r="A73" s="3" t="s">
        <v>549</v>
      </c>
      <c r="B73" s="3" t="s">
        <v>597</v>
      </c>
      <c r="C73" s="3" t="s">
        <v>598</v>
      </c>
      <c r="D73" s="3" t="s">
        <v>599</v>
      </c>
    </row>
    <row r="74">
      <c r="A74" s="3" t="s">
        <v>549</v>
      </c>
      <c r="B74" s="3" t="s">
        <v>597</v>
      </c>
      <c r="C74" s="3" t="s">
        <v>598</v>
      </c>
      <c r="D74" s="3" t="s">
        <v>600</v>
      </c>
    </row>
    <row r="75">
      <c r="A75" s="3" t="s">
        <v>549</v>
      </c>
      <c r="B75" s="3" t="s">
        <v>597</v>
      </c>
      <c r="C75" s="3" t="s">
        <v>601</v>
      </c>
      <c r="D75" s="3" t="s">
        <v>602</v>
      </c>
    </row>
    <row r="76">
      <c r="A76" s="3" t="s">
        <v>549</v>
      </c>
      <c r="B76" s="3" t="s">
        <v>597</v>
      </c>
      <c r="C76" s="3" t="s">
        <v>601</v>
      </c>
      <c r="D76" s="3" t="s">
        <v>603</v>
      </c>
    </row>
    <row r="77">
      <c r="A77" s="3" t="s">
        <v>549</v>
      </c>
      <c r="B77" s="3" t="s">
        <v>597</v>
      </c>
      <c r="C77" s="3" t="s">
        <v>601</v>
      </c>
      <c r="D77" s="3" t="s">
        <v>604</v>
      </c>
    </row>
    <row r="78">
      <c r="A78" s="3" t="s">
        <v>549</v>
      </c>
      <c r="B78" s="3" t="s">
        <v>597</v>
      </c>
      <c r="C78" s="3" t="s">
        <v>601</v>
      </c>
      <c r="D78" s="3" t="s">
        <v>605</v>
      </c>
    </row>
    <row r="79">
      <c r="A79" s="3" t="s">
        <v>606</v>
      </c>
      <c r="B79" s="3" t="s">
        <v>607</v>
      </c>
      <c r="C79" s="3" t="s">
        <v>608</v>
      </c>
      <c r="D79" s="3" t="s">
        <v>609</v>
      </c>
    </row>
    <row r="80">
      <c r="A80" s="3" t="s">
        <v>606</v>
      </c>
      <c r="B80" s="3" t="s">
        <v>607</v>
      </c>
      <c r="C80" s="3" t="s">
        <v>610</v>
      </c>
      <c r="D80" s="3" t="s">
        <v>611</v>
      </c>
    </row>
    <row r="81">
      <c r="A81" s="3" t="s">
        <v>606</v>
      </c>
      <c r="B81" s="3" t="s">
        <v>607</v>
      </c>
      <c r="C81" s="3" t="s">
        <v>612</v>
      </c>
      <c r="D81" s="3" t="s">
        <v>613</v>
      </c>
    </row>
    <row r="82">
      <c r="A82" s="3" t="s">
        <v>606</v>
      </c>
      <c r="B82" s="3" t="s">
        <v>614</v>
      </c>
      <c r="C82" s="3" t="s">
        <v>615</v>
      </c>
      <c r="D82" s="3" t="s">
        <v>616</v>
      </c>
    </row>
    <row r="83">
      <c r="A83" s="3" t="s">
        <v>606</v>
      </c>
      <c r="B83" s="3" t="s">
        <v>614</v>
      </c>
      <c r="C83" s="3" t="s">
        <v>617</v>
      </c>
      <c r="D83" s="3" t="s">
        <v>618</v>
      </c>
    </row>
    <row r="84">
      <c r="A84" s="3" t="s">
        <v>606</v>
      </c>
      <c r="B84" s="3" t="s">
        <v>619</v>
      </c>
      <c r="C84" s="3" t="s">
        <v>568</v>
      </c>
      <c r="D84" s="3" t="s">
        <v>620</v>
      </c>
    </row>
    <row r="85">
      <c r="A85" s="3" t="s">
        <v>606</v>
      </c>
      <c r="B85" s="3" t="s">
        <v>621</v>
      </c>
      <c r="C85" s="3" t="s">
        <v>622</v>
      </c>
      <c r="D85" s="3" t="s">
        <v>623</v>
      </c>
    </row>
    <row r="86">
      <c r="A86" s="3" t="s">
        <v>606</v>
      </c>
      <c r="B86" s="3" t="s">
        <v>621</v>
      </c>
      <c r="C86" s="3" t="s">
        <v>624</v>
      </c>
      <c r="D86" s="3" t="s">
        <v>625</v>
      </c>
    </row>
    <row r="87">
      <c r="A87" s="3" t="s">
        <v>606</v>
      </c>
      <c r="B87" s="3" t="s">
        <v>621</v>
      </c>
      <c r="C87" s="3" t="s">
        <v>626</v>
      </c>
      <c r="D87" s="3" t="s">
        <v>627</v>
      </c>
    </row>
    <row r="88">
      <c r="A88" s="3" t="s">
        <v>606</v>
      </c>
      <c r="B88" s="3" t="s">
        <v>621</v>
      </c>
      <c r="C88" s="3" t="s">
        <v>628</v>
      </c>
      <c r="D88" s="3" t="s">
        <v>629</v>
      </c>
    </row>
    <row r="89">
      <c r="A89" s="3" t="s">
        <v>606</v>
      </c>
      <c r="B89" s="3" t="s">
        <v>621</v>
      </c>
      <c r="C89" s="3" t="s">
        <v>630</v>
      </c>
      <c r="D89" s="3" t="s">
        <v>631</v>
      </c>
    </row>
    <row r="90">
      <c r="A90" s="3" t="s">
        <v>606</v>
      </c>
      <c r="B90" s="3" t="s">
        <v>632</v>
      </c>
      <c r="C90" s="3" t="s">
        <v>633</v>
      </c>
    </row>
    <row r="91">
      <c r="A91" s="3" t="s">
        <v>634</v>
      </c>
      <c r="B91" s="3" t="s">
        <v>635</v>
      </c>
      <c r="C91" s="3" t="s">
        <v>636</v>
      </c>
      <c r="D91" s="3" t="s">
        <v>637</v>
      </c>
    </row>
    <row r="92">
      <c r="A92" s="3" t="s">
        <v>634</v>
      </c>
      <c r="B92" s="3" t="s">
        <v>635</v>
      </c>
      <c r="C92" s="3" t="s">
        <v>638</v>
      </c>
      <c r="D92" s="3" t="s">
        <v>639</v>
      </c>
    </row>
    <row r="93">
      <c r="A93" s="3" t="s">
        <v>634</v>
      </c>
      <c r="B93" s="3" t="s">
        <v>635</v>
      </c>
      <c r="C93" s="3" t="s">
        <v>640</v>
      </c>
      <c r="D93" s="3" t="s">
        <v>641</v>
      </c>
    </row>
    <row r="94">
      <c r="A94" s="3" t="s">
        <v>634</v>
      </c>
      <c r="B94" s="3" t="s">
        <v>635</v>
      </c>
      <c r="C94" s="3" t="s">
        <v>642</v>
      </c>
      <c r="D94" s="3" t="s">
        <v>643</v>
      </c>
    </row>
    <row r="95">
      <c r="A95" s="3" t="s">
        <v>634</v>
      </c>
      <c r="B95" s="3" t="s">
        <v>635</v>
      </c>
      <c r="C95" s="3" t="s">
        <v>644</v>
      </c>
      <c r="D95" s="3" t="s">
        <v>645</v>
      </c>
    </row>
    <row r="96">
      <c r="A96" s="3" t="s">
        <v>634</v>
      </c>
      <c r="B96" s="3" t="s">
        <v>646</v>
      </c>
      <c r="C96" s="3" t="s">
        <v>647</v>
      </c>
      <c r="D96" s="3" t="s">
        <v>648</v>
      </c>
    </row>
    <row r="97">
      <c r="A97" s="3" t="s">
        <v>634</v>
      </c>
      <c r="B97" s="3" t="s">
        <v>646</v>
      </c>
      <c r="C97" s="3" t="s">
        <v>649</v>
      </c>
      <c r="D97" s="3" t="s">
        <v>650</v>
      </c>
    </row>
    <row r="98">
      <c r="A98" s="3" t="s">
        <v>634</v>
      </c>
      <c r="B98" s="3" t="s">
        <v>646</v>
      </c>
      <c r="C98" s="3" t="s">
        <v>651</v>
      </c>
      <c r="D98" s="3" t="s">
        <v>652</v>
      </c>
    </row>
    <row r="99">
      <c r="A99" s="3" t="s">
        <v>634</v>
      </c>
      <c r="B99" s="3" t="s">
        <v>646</v>
      </c>
      <c r="C99" s="3" t="s">
        <v>653</v>
      </c>
      <c r="D99" s="3" t="s">
        <v>654</v>
      </c>
    </row>
    <row r="100">
      <c r="A100" s="3" t="s">
        <v>634</v>
      </c>
      <c r="B100" s="3" t="s">
        <v>646</v>
      </c>
      <c r="C100" s="3" t="s">
        <v>655</v>
      </c>
      <c r="D100" s="3" t="s">
        <v>656</v>
      </c>
    </row>
    <row r="101">
      <c r="A101" s="3" t="s">
        <v>634</v>
      </c>
      <c r="B101" s="3" t="s">
        <v>657</v>
      </c>
      <c r="C101" s="3" t="s">
        <v>658</v>
      </c>
      <c r="D101" s="3" t="s">
        <v>659</v>
      </c>
    </row>
    <row r="102">
      <c r="A102" s="3" t="s">
        <v>634</v>
      </c>
      <c r="B102" s="3" t="s">
        <v>657</v>
      </c>
      <c r="C102" s="3" t="s">
        <v>660</v>
      </c>
      <c r="D102" s="3" t="s">
        <v>661</v>
      </c>
    </row>
    <row r="103">
      <c r="A103" s="3" t="s">
        <v>634</v>
      </c>
      <c r="B103" s="3" t="s">
        <v>657</v>
      </c>
      <c r="C103" s="3" t="s">
        <v>662</v>
      </c>
      <c r="D103" s="3" t="s">
        <v>663</v>
      </c>
    </row>
    <row r="104">
      <c r="A104" s="3" t="s">
        <v>634</v>
      </c>
      <c r="B104" s="3" t="s">
        <v>664</v>
      </c>
      <c r="C104" s="3" t="s">
        <v>665</v>
      </c>
      <c r="D104" s="3" t="s">
        <v>666</v>
      </c>
    </row>
    <row r="105">
      <c r="A105" s="3" t="s">
        <v>634</v>
      </c>
      <c r="B105" s="3" t="s">
        <v>667</v>
      </c>
      <c r="C105" s="3" t="s">
        <v>665</v>
      </c>
      <c r="D105" s="3" t="s">
        <v>668</v>
      </c>
    </row>
    <row r="106">
      <c r="A106" s="3" t="s">
        <v>634</v>
      </c>
      <c r="B106" s="3" t="s">
        <v>667</v>
      </c>
      <c r="C106" s="3" t="s">
        <v>669</v>
      </c>
      <c r="D106" s="3" t="s">
        <v>670</v>
      </c>
    </row>
    <row r="107">
      <c r="A107" s="3" t="s">
        <v>634</v>
      </c>
      <c r="B107" s="3" t="s">
        <v>671</v>
      </c>
      <c r="C107" s="3" t="s">
        <v>672</v>
      </c>
      <c r="D107" s="3" t="s">
        <v>673</v>
      </c>
    </row>
    <row r="108">
      <c r="A108" s="3" t="s">
        <v>634</v>
      </c>
      <c r="B108" s="3" t="s">
        <v>671</v>
      </c>
      <c r="C108" s="3" t="s">
        <v>674</v>
      </c>
      <c r="D108" s="3" t="s">
        <v>675</v>
      </c>
    </row>
    <row r="109">
      <c r="A109" s="3" t="s">
        <v>634</v>
      </c>
      <c r="B109" s="3" t="s">
        <v>671</v>
      </c>
      <c r="C109" s="3" t="s">
        <v>676</v>
      </c>
      <c r="D109" s="3" t="s">
        <v>677</v>
      </c>
    </row>
    <row r="110">
      <c r="A110" s="3" t="s">
        <v>634</v>
      </c>
      <c r="B110" s="3" t="s">
        <v>671</v>
      </c>
      <c r="C110" s="3" t="s">
        <v>678</v>
      </c>
      <c r="D110" s="3" t="s">
        <v>679</v>
      </c>
    </row>
    <row r="111">
      <c r="A111" s="3" t="s">
        <v>634</v>
      </c>
      <c r="B111" s="3" t="s">
        <v>671</v>
      </c>
      <c r="C111" s="3" t="s">
        <v>479</v>
      </c>
      <c r="D111" s="3" t="s">
        <v>680</v>
      </c>
    </row>
    <row r="112">
      <c r="A112" s="3" t="s">
        <v>634</v>
      </c>
      <c r="B112" s="3" t="s">
        <v>671</v>
      </c>
      <c r="C112" s="3" t="s">
        <v>681</v>
      </c>
      <c r="D112" s="3" t="s">
        <v>682</v>
      </c>
    </row>
    <row r="113">
      <c r="A113" s="3" t="s">
        <v>634</v>
      </c>
      <c r="B113" s="3" t="s">
        <v>671</v>
      </c>
      <c r="C113" s="3" t="s">
        <v>683</v>
      </c>
      <c r="D113" s="3" t="s">
        <v>684</v>
      </c>
    </row>
    <row r="114">
      <c r="A114" s="3" t="s">
        <v>634</v>
      </c>
      <c r="B114" s="3" t="s">
        <v>671</v>
      </c>
      <c r="C114" s="3" t="s">
        <v>685</v>
      </c>
      <c r="D114" s="3" t="s">
        <v>686</v>
      </c>
    </row>
    <row r="115">
      <c r="A115" s="3" t="s">
        <v>634</v>
      </c>
      <c r="B115" s="3" t="s">
        <v>671</v>
      </c>
      <c r="C115" s="3" t="s">
        <v>687</v>
      </c>
      <c r="D115" s="3" t="s">
        <v>688</v>
      </c>
    </row>
    <row r="116">
      <c r="A116" s="3" t="s">
        <v>634</v>
      </c>
      <c r="B116" s="3" t="s">
        <v>689</v>
      </c>
      <c r="C116" s="3" t="s">
        <v>690</v>
      </c>
      <c r="D116" s="3" t="s">
        <v>691</v>
      </c>
    </row>
    <row r="117">
      <c r="A117" s="3" t="s">
        <v>634</v>
      </c>
      <c r="B117" s="3" t="s">
        <v>692</v>
      </c>
      <c r="C117" s="3" t="s">
        <v>693</v>
      </c>
      <c r="D117" s="3" t="s">
        <v>694</v>
      </c>
    </row>
    <row r="118">
      <c r="A118" s="3" t="s">
        <v>634</v>
      </c>
      <c r="B118" s="3" t="s">
        <v>692</v>
      </c>
      <c r="C118" s="3" t="s">
        <v>695</v>
      </c>
      <c r="D118" s="3" t="s">
        <v>696</v>
      </c>
    </row>
    <row r="119">
      <c r="A119" s="3" t="s">
        <v>634</v>
      </c>
      <c r="B119" s="3" t="s">
        <v>692</v>
      </c>
      <c r="C119" s="3" t="s">
        <v>697</v>
      </c>
      <c r="D119" s="3" t="s">
        <v>698</v>
      </c>
    </row>
    <row r="120">
      <c r="A120" s="3" t="s">
        <v>634</v>
      </c>
      <c r="B120" s="3" t="s">
        <v>692</v>
      </c>
      <c r="C120" s="3" t="s">
        <v>695</v>
      </c>
      <c r="D120" s="3" t="s">
        <v>699</v>
      </c>
    </row>
    <row r="121">
      <c r="A121" s="3" t="s">
        <v>634</v>
      </c>
      <c r="B121" s="3" t="s">
        <v>700</v>
      </c>
      <c r="C121" s="3" t="s">
        <v>701</v>
      </c>
      <c r="D121" s="3" t="s">
        <v>702</v>
      </c>
    </row>
    <row r="122">
      <c r="A122" s="3" t="s">
        <v>634</v>
      </c>
      <c r="B122" s="3" t="s">
        <v>700</v>
      </c>
      <c r="C122" s="3" t="s">
        <v>703</v>
      </c>
      <c r="D122" s="3" t="s">
        <v>704</v>
      </c>
    </row>
    <row r="123">
      <c r="A123" s="3" t="s">
        <v>634</v>
      </c>
      <c r="B123" s="3" t="s">
        <v>700</v>
      </c>
      <c r="C123" s="3" t="s">
        <v>705</v>
      </c>
      <c r="D123" s="3" t="s">
        <v>706</v>
      </c>
    </row>
    <row r="124">
      <c r="A124" s="3" t="s">
        <v>634</v>
      </c>
      <c r="B124" s="3" t="s">
        <v>700</v>
      </c>
      <c r="C124" s="3" t="s">
        <v>707</v>
      </c>
      <c r="D124" s="3" t="s">
        <v>708</v>
      </c>
    </row>
    <row r="125">
      <c r="A125" s="3" t="s">
        <v>634</v>
      </c>
      <c r="B125" s="3" t="s">
        <v>700</v>
      </c>
      <c r="C125" s="3" t="s">
        <v>709</v>
      </c>
      <c r="D125" s="3" t="s">
        <v>710</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4.0"/>
    <col customWidth="1" min="3" max="3" width="59.63"/>
    <col customWidth="1" min="4" max="4" width="60.88"/>
  </cols>
  <sheetData>
    <row r="1">
      <c r="A1" s="3" t="s">
        <v>2</v>
      </c>
      <c r="B1" s="3" t="s">
        <v>3</v>
      </c>
      <c r="C1" s="3" t="s">
        <v>4</v>
      </c>
      <c r="D1" s="3" t="s">
        <v>5</v>
      </c>
    </row>
    <row r="2">
      <c r="A2" s="3" t="s">
        <v>711</v>
      </c>
      <c r="B2" s="3" t="s">
        <v>712</v>
      </c>
      <c r="C2" s="3" t="s">
        <v>713</v>
      </c>
    </row>
    <row r="3">
      <c r="A3" s="3" t="s">
        <v>711</v>
      </c>
      <c r="B3" s="3" t="s">
        <v>712</v>
      </c>
      <c r="C3" s="3" t="s">
        <v>714</v>
      </c>
      <c r="D3" s="3" t="s">
        <v>715</v>
      </c>
    </row>
    <row r="4">
      <c r="A4" s="3" t="s">
        <v>711</v>
      </c>
      <c r="B4" s="3" t="s">
        <v>712</v>
      </c>
      <c r="C4" s="3" t="s">
        <v>714</v>
      </c>
      <c r="D4" s="3" t="s">
        <v>716</v>
      </c>
    </row>
    <row r="5">
      <c r="A5" s="3" t="s">
        <v>711</v>
      </c>
      <c r="B5" s="3" t="s">
        <v>712</v>
      </c>
      <c r="C5" s="3" t="s">
        <v>714</v>
      </c>
      <c r="D5" s="3" t="s">
        <v>717</v>
      </c>
    </row>
    <row r="6">
      <c r="A6" s="3" t="s">
        <v>711</v>
      </c>
      <c r="B6" s="3" t="s">
        <v>712</v>
      </c>
      <c r="C6" s="3" t="s">
        <v>714</v>
      </c>
      <c r="D6" s="3" t="s">
        <v>718</v>
      </c>
    </row>
    <row r="7">
      <c r="A7" s="3" t="s">
        <v>711</v>
      </c>
      <c r="B7" s="3" t="s">
        <v>712</v>
      </c>
      <c r="C7" s="3" t="s">
        <v>714</v>
      </c>
      <c r="D7" s="3" t="s">
        <v>719</v>
      </c>
    </row>
    <row r="8">
      <c r="A8" s="3" t="s">
        <v>711</v>
      </c>
      <c r="B8" s="3" t="s">
        <v>712</v>
      </c>
      <c r="C8" s="3" t="s">
        <v>714</v>
      </c>
      <c r="D8" s="3" t="s">
        <v>720</v>
      </c>
    </row>
    <row r="9">
      <c r="A9" s="3" t="s">
        <v>711</v>
      </c>
      <c r="B9" s="3" t="s">
        <v>712</v>
      </c>
      <c r="C9" s="3" t="s">
        <v>721</v>
      </c>
      <c r="D9" s="3" t="s">
        <v>722</v>
      </c>
    </row>
    <row r="10">
      <c r="A10" s="3" t="s">
        <v>711</v>
      </c>
      <c r="B10" s="3" t="s">
        <v>712</v>
      </c>
      <c r="C10" s="3" t="s">
        <v>723</v>
      </c>
      <c r="D10" s="3" t="s">
        <v>724</v>
      </c>
    </row>
    <row r="11">
      <c r="A11" s="3" t="s">
        <v>711</v>
      </c>
      <c r="B11" s="3" t="s">
        <v>712</v>
      </c>
      <c r="C11" s="3" t="s">
        <v>723</v>
      </c>
      <c r="D11" s="3" t="s">
        <v>725</v>
      </c>
    </row>
    <row r="12">
      <c r="A12" s="3" t="s">
        <v>711</v>
      </c>
      <c r="B12" s="3" t="s">
        <v>712</v>
      </c>
      <c r="C12" s="3" t="s">
        <v>723</v>
      </c>
      <c r="D12" s="3" t="s">
        <v>726</v>
      </c>
    </row>
    <row r="13">
      <c r="A13" s="3" t="s">
        <v>711</v>
      </c>
      <c r="B13" s="3" t="s">
        <v>712</v>
      </c>
      <c r="C13" s="3" t="s">
        <v>727</v>
      </c>
      <c r="D13" s="3" t="s">
        <v>728</v>
      </c>
    </row>
    <row r="14">
      <c r="A14" s="3" t="s">
        <v>711</v>
      </c>
      <c r="B14" s="3" t="s">
        <v>712</v>
      </c>
      <c r="C14" s="3" t="s">
        <v>727</v>
      </c>
      <c r="D14" s="3" t="s">
        <v>729</v>
      </c>
    </row>
    <row r="15">
      <c r="A15" s="3" t="s">
        <v>711</v>
      </c>
      <c r="B15" s="3" t="s">
        <v>712</v>
      </c>
      <c r="C15" s="3" t="s">
        <v>730</v>
      </c>
      <c r="D15" s="3" t="s">
        <v>731</v>
      </c>
    </row>
    <row r="16">
      <c r="A16" s="3" t="s">
        <v>711</v>
      </c>
      <c r="B16" s="3" t="s">
        <v>712</v>
      </c>
      <c r="C16" s="3" t="s">
        <v>732</v>
      </c>
    </row>
    <row r="17">
      <c r="A17" s="3" t="s">
        <v>711</v>
      </c>
      <c r="B17" s="3" t="s">
        <v>712</v>
      </c>
      <c r="C17" s="3" t="s">
        <v>733</v>
      </c>
    </row>
    <row r="18">
      <c r="A18" s="3" t="s">
        <v>711</v>
      </c>
      <c r="B18" s="3" t="s">
        <v>734</v>
      </c>
      <c r="C18" s="3" t="s">
        <v>735</v>
      </c>
      <c r="D18" s="3" t="s">
        <v>736</v>
      </c>
    </row>
    <row r="19">
      <c r="A19" s="3" t="s">
        <v>711</v>
      </c>
      <c r="B19" s="3" t="s">
        <v>734</v>
      </c>
      <c r="C19" s="3" t="s">
        <v>737</v>
      </c>
      <c r="D19" s="3" t="s">
        <v>738</v>
      </c>
    </row>
    <row r="20">
      <c r="A20" s="3" t="s">
        <v>711</v>
      </c>
      <c r="B20" s="3" t="s">
        <v>734</v>
      </c>
      <c r="C20" s="3" t="s">
        <v>90</v>
      </c>
      <c r="D20" s="3" t="s">
        <v>91</v>
      </c>
    </row>
    <row r="21">
      <c r="A21" s="3" t="s">
        <v>711</v>
      </c>
      <c r="B21" s="3" t="s">
        <v>734</v>
      </c>
      <c r="C21" s="3" t="s">
        <v>739</v>
      </c>
      <c r="D21" s="3" t="s">
        <v>740</v>
      </c>
    </row>
    <row r="22">
      <c r="A22" s="3" t="s">
        <v>711</v>
      </c>
      <c r="B22" s="3" t="s">
        <v>734</v>
      </c>
      <c r="C22" s="3" t="s">
        <v>741</v>
      </c>
      <c r="D22" s="3" t="s">
        <v>742</v>
      </c>
    </row>
    <row r="23">
      <c r="A23" s="3" t="s">
        <v>711</v>
      </c>
      <c r="B23" s="3" t="s">
        <v>743</v>
      </c>
      <c r="C23" s="3" t="s">
        <v>744</v>
      </c>
      <c r="D23" s="3" t="s">
        <v>745</v>
      </c>
    </row>
    <row r="24">
      <c r="A24" s="3" t="s">
        <v>711</v>
      </c>
      <c r="B24" s="3" t="s">
        <v>743</v>
      </c>
      <c r="C24" s="3" t="s">
        <v>746</v>
      </c>
      <c r="D24" s="3" t="s">
        <v>745</v>
      </c>
    </row>
    <row r="25">
      <c r="A25" s="3" t="s">
        <v>711</v>
      </c>
      <c r="B25" s="3" t="s">
        <v>743</v>
      </c>
      <c r="C25" s="3" t="s">
        <v>746</v>
      </c>
      <c r="D25" s="3" t="s">
        <v>747</v>
      </c>
    </row>
    <row r="26">
      <c r="A26" s="3" t="s">
        <v>711</v>
      </c>
      <c r="B26" s="3" t="s">
        <v>743</v>
      </c>
      <c r="C26" s="3" t="s">
        <v>748</v>
      </c>
      <c r="D26" s="3" t="s">
        <v>749</v>
      </c>
      <c r="E26" s="3" t="s">
        <v>750</v>
      </c>
    </row>
    <row r="27">
      <c r="A27" s="3" t="s">
        <v>711</v>
      </c>
      <c r="B27" s="3" t="s">
        <v>743</v>
      </c>
      <c r="C27" s="3" t="s">
        <v>751</v>
      </c>
      <c r="D27" s="3" t="s">
        <v>752</v>
      </c>
      <c r="E27" s="3" t="s">
        <v>753</v>
      </c>
    </row>
    <row r="28">
      <c r="A28" s="3" t="s">
        <v>711</v>
      </c>
      <c r="B28" s="3" t="s">
        <v>743</v>
      </c>
      <c r="C28" s="3" t="s">
        <v>751</v>
      </c>
      <c r="D28" s="3" t="s">
        <v>754</v>
      </c>
      <c r="E28" s="3" t="s">
        <v>755</v>
      </c>
    </row>
    <row r="29">
      <c r="A29" s="3" t="s">
        <v>711</v>
      </c>
      <c r="B29" s="3" t="s">
        <v>743</v>
      </c>
      <c r="C29" s="3" t="s">
        <v>751</v>
      </c>
      <c r="D29" s="3" t="s">
        <v>756</v>
      </c>
      <c r="E29" s="3" t="s">
        <v>757</v>
      </c>
    </row>
    <row r="30">
      <c r="A30" s="3" t="s">
        <v>711</v>
      </c>
      <c r="B30" s="3" t="s">
        <v>743</v>
      </c>
      <c r="C30" s="3" t="s">
        <v>751</v>
      </c>
      <c r="D30" s="3" t="s">
        <v>758</v>
      </c>
      <c r="E30" s="3" t="s">
        <v>759</v>
      </c>
    </row>
    <row r="31">
      <c r="A31" s="3" t="s">
        <v>711</v>
      </c>
      <c r="B31" s="3" t="s">
        <v>743</v>
      </c>
      <c r="C31" s="3" t="s">
        <v>751</v>
      </c>
      <c r="D31" s="3" t="s">
        <v>760</v>
      </c>
      <c r="E31" s="3" t="s">
        <v>761</v>
      </c>
    </row>
    <row r="32">
      <c r="A32" s="3" t="s">
        <v>711</v>
      </c>
      <c r="B32" s="3" t="s">
        <v>743</v>
      </c>
      <c r="C32" s="3" t="s">
        <v>762</v>
      </c>
      <c r="D32" s="3" t="s">
        <v>752</v>
      </c>
      <c r="E32" s="3" t="s">
        <v>763</v>
      </c>
    </row>
    <row r="33">
      <c r="A33" s="3" t="s">
        <v>711</v>
      </c>
      <c r="B33" s="3" t="s">
        <v>743</v>
      </c>
      <c r="C33" s="3" t="s">
        <v>764</v>
      </c>
      <c r="D33" s="3" t="s">
        <v>765</v>
      </c>
      <c r="E33" s="3" t="s">
        <v>766</v>
      </c>
    </row>
    <row r="34">
      <c r="A34" s="3" t="s">
        <v>711</v>
      </c>
      <c r="B34" s="3" t="s">
        <v>743</v>
      </c>
      <c r="C34" s="3" t="s">
        <v>767</v>
      </c>
      <c r="D34" s="3" t="s">
        <v>768</v>
      </c>
      <c r="E34" s="3" t="s">
        <v>769</v>
      </c>
    </row>
    <row r="35">
      <c r="A35" s="3" t="s">
        <v>711</v>
      </c>
      <c r="B35" s="3" t="s">
        <v>743</v>
      </c>
      <c r="C35" s="3" t="s">
        <v>767</v>
      </c>
      <c r="D35" s="3" t="s">
        <v>756</v>
      </c>
      <c r="E35" s="3" t="s">
        <v>757</v>
      </c>
    </row>
    <row r="36">
      <c r="A36" s="3" t="s">
        <v>711</v>
      </c>
      <c r="B36" s="3" t="s">
        <v>743</v>
      </c>
      <c r="C36" s="3" t="s">
        <v>767</v>
      </c>
      <c r="D36" s="3" t="s">
        <v>770</v>
      </c>
      <c r="E36" s="3" t="s">
        <v>759</v>
      </c>
    </row>
    <row r="37">
      <c r="A37" s="3" t="s">
        <v>711</v>
      </c>
      <c r="B37" s="3" t="s">
        <v>743</v>
      </c>
      <c r="C37" s="3" t="s">
        <v>767</v>
      </c>
      <c r="D37" s="3" t="s">
        <v>771</v>
      </c>
      <c r="E37" s="3" t="s">
        <v>772</v>
      </c>
    </row>
    <row r="38">
      <c r="A38" s="3" t="s">
        <v>711</v>
      </c>
      <c r="B38" s="3" t="s">
        <v>743</v>
      </c>
      <c r="C38" s="3" t="s">
        <v>773</v>
      </c>
      <c r="D38" s="3" t="s">
        <v>774</v>
      </c>
      <c r="E38" s="3" t="s">
        <v>775</v>
      </c>
    </row>
    <row r="39">
      <c r="A39" s="3" t="s">
        <v>711</v>
      </c>
      <c r="B39" s="3" t="s">
        <v>743</v>
      </c>
      <c r="C39" s="3" t="s">
        <v>776</v>
      </c>
      <c r="D39" s="3" t="s">
        <v>777</v>
      </c>
      <c r="E39" s="3" t="s">
        <v>778</v>
      </c>
    </row>
    <row r="40">
      <c r="A40" s="3" t="s">
        <v>711</v>
      </c>
      <c r="B40" s="3" t="s">
        <v>743</v>
      </c>
      <c r="C40" s="3" t="s">
        <v>776</v>
      </c>
      <c r="D40" s="3" t="s">
        <v>779</v>
      </c>
      <c r="E40" s="3" t="s">
        <v>780</v>
      </c>
    </row>
    <row r="41">
      <c r="A41" s="3" t="s">
        <v>711</v>
      </c>
      <c r="B41" s="3" t="s">
        <v>743</v>
      </c>
      <c r="C41" s="3" t="s">
        <v>776</v>
      </c>
      <c r="D41" s="3" t="s">
        <v>781</v>
      </c>
      <c r="E41" s="3" t="s">
        <v>782</v>
      </c>
    </row>
    <row r="42">
      <c r="A42" s="3" t="s">
        <v>711</v>
      </c>
      <c r="B42" s="3" t="s">
        <v>743</v>
      </c>
      <c r="C42" s="3" t="s">
        <v>783</v>
      </c>
      <c r="D42" s="3" t="s">
        <v>779</v>
      </c>
      <c r="E42" s="3" t="s">
        <v>784</v>
      </c>
    </row>
    <row r="43">
      <c r="A43" s="3" t="s">
        <v>711</v>
      </c>
      <c r="B43" s="3" t="s">
        <v>743</v>
      </c>
      <c r="C43" s="3" t="s">
        <v>785</v>
      </c>
      <c r="D43" s="3" t="s">
        <v>786</v>
      </c>
    </row>
    <row r="44">
      <c r="A44" s="3" t="s">
        <v>711</v>
      </c>
      <c r="B44" s="3" t="s">
        <v>743</v>
      </c>
      <c r="C44" s="3" t="s">
        <v>785</v>
      </c>
      <c r="D44" s="3" t="s">
        <v>787</v>
      </c>
      <c r="E44" s="3" t="s">
        <v>788</v>
      </c>
    </row>
    <row r="45">
      <c r="A45" s="3" t="s">
        <v>711</v>
      </c>
      <c r="B45" s="3" t="s">
        <v>743</v>
      </c>
      <c r="C45" s="3" t="s">
        <v>785</v>
      </c>
      <c r="D45" s="3" t="s">
        <v>789</v>
      </c>
      <c r="E45" s="3" t="s">
        <v>790</v>
      </c>
    </row>
    <row r="46">
      <c r="A46" s="3" t="s">
        <v>711</v>
      </c>
      <c r="B46" s="3" t="s">
        <v>743</v>
      </c>
      <c r="C46" s="3" t="s">
        <v>791</v>
      </c>
      <c r="D46" s="3" t="s">
        <v>792</v>
      </c>
      <c r="E46" s="3" t="s">
        <v>793</v>
      </c>
    </row>
    <row r="47">
      <c r="A47" s="3" t="s">
        <v>711</v>
      </c>
      <c r="B47" s="3" t="s">
        <v>743</v>
      </c>
      <c r="C47" s="3" t="s">
        <v>791</v>
      </c>
      <c r="D47" s="3" t="s">
        <v>794</v>
      </c>
      <c r="E47" s="3" t="s">
        <v>795</v>
      </c>
    </row>
    <row r="48">
      <c r="A48" s="3" t="s">
        <v>711</v>
      </c>
      <c r="B48" s="3" t="s">
        <v>743</v>
      </c>
      <c r="C48" s="3" t="s">
        <v>791</v>
      </c>
      <c r="D48" s="3" t="s">
        <v>796</v>
      </c>
      <c r="E48" s="3" t="s">
        <v>797</v>
      </c>
    </row>
    <row r="49">
      <c r="A49" s="3" t="s">
        <v>711</v>
      </c>
      <c r="B49" s="3" t="s">
        <v>743</v>
      </c>
      <c r="C49" s="3" t="s">
        <v>798</v>
      </c>
      <c r="D49" s="3" t="s">
        <v>799</v>
      </c>
      <c r="E49" s="3" t="s">
        <v>800</v>
      </c>
    </row>
    <row r="50">
      <c r="A50" s="3" t="s">
        <v>711</v>
      </c>
      <c r="B50" s="3" t="s">
        <v>743</v>
      </c>
      <c r="C50" s="3" t="s">
        <v>801</v>
      </c>
      <c r="D50" s="3" t="s">
        <v>802</v>
      </c>
      <c r="E50" s="3" t="s">
        <v>803</v>
      </c>
    </row>
    <row r="51">
      <c r="A51" s="3" t="s">
        <v>711</v>
      </c>
      <c r="B51" s="3" t="s">
        <v>743</v>
      </c>
      <c r="C51" s="3" t="s">
        <v>804</v>
      </c>
      <c r="D51" s="3" t="s">
        <v>805</v>
      </c>
      <c r="E51" s="3" t="s">
        <v>806</v>
      </c>
    </row>
    <row r="52">
      <c r="A52" s="3" t="s">
        <v>711</v>
      </c>
      <c r="B52" s="3" t="s">
        <v>743</v>
      </c>
      <c r="C52" s="3" t="s">
        <v>807</v>
      </c>
      <c r="D52" s="3" t="s">
        <v>808</v>
      </c>
      <c r="E52" s="3" t="s">
        <v>809</v>
      </c>
    </row>
    <row r="53">
      <c r="A53" s="3" t="s">
        <v>711</v>
      </c>
      <c r="B53" s="3" t="s">
        <v>743</v>
      </c>
      <c r="C53" s="3" t="s">
        <v>810</v>
      </c>
      <c r="D53" s="3" t="s">
        <v>811</v>
      </c>
      <c r="E53" s="3" t="s">
        <v>812</v>
      </c>
    </row>
    <row r="54">
      <c r="A54" s="3" t="s">
        <v>711</v>
      </c>
      <c r="B54" s="3" t="s">
        <v>743</v>
      </c>
      <c r="C54" s="3" t="s">
        <v>810</v>
      </c>
      <c r="D54" s="3" t="s">
        <v>813</v>
      </c>
      <c r="E54" s="3" t="s">
        <v>814</v>
      </c>
    </row>
    <row r="55">
      <c r="A55" s="3" t="s">
        <v>711</v>
      </c>
      <c r="B55" s="3" t="s">
        <v>743</v>
      </c>
      <c r="C55" s="3" t="s">
        <v>815</v>
      </c>
      <c r="D55" s="3" t="s">
        <v>816</v>
      </c>
      <c r="E55" s="3" t="s">
        <v>817</v>
      </c>
    </row>
    <row r="56">
      <c r="A56" s="3" t="s">
        <v>711</v>
      </c>
      <c r="B56" s="3" t="s">
        <v>743</v>
      </c>
      <c r="C56" s="3" t="s">
        <v>815</v>
      </c>
      <c r="D56" s="3" t="s">
        <v>818</v>
      </c>
      <c r="E56" s="3" t="s">
        <v>819</v>
      </c>
    </row>
    <row r="57">
      <c r="A57" s="3" t="s">
        <v>711</v>
      </c>
      <c r="B57" s="3" t="s">
        <v>743</v>
      </c>
      <c r="C57" s="3" t="s">
        <v>820</v>
      </c>
      <c r="D57" s="3" t="s">
        <v>818</v>
      </c>
      <c r="E57" s="3" t="s">
        <v>821</v>
      </c>
    </row>
    <row r="58">
      <c r="A58" s="3" t="s">
        <v>711</v>
      </c>
      <c r="B58" s="3" t="s">
        <v>743</v>
      </c>
      <c r="C58" s="3" t="s">
        <v>822</v>
      </c>
      <c r="D58" s="3" t="s">
        <v>823</v>
      </c>
    </row>
    <row r="59">
      <c r="A59" s="3" t="s">
        <v>711</v>
      </c>
      <c r="B59" s="3" t="s">
        <v>743</v>
      </c>
      <c r="C59" s="3" t="s">
        <v>824</v>
      </c>
      <c r="D59" s="3" t="s">
        <v>825</v>
      </c>
      <c r="E59" s="3" t="s">
        <v>826</v>
      </c>
    </row>
    <row r="60">
      <c r="A60" s="3" t="s">
        <v>711</v>
      </c>
      <c r="B60" s="3" t="s">
        <v>743</v>
      </c>
      <c r="C60" s="3" t="s">
        <v>824</v>
      </c>
      <c r="D60" s="3" t="s">
        <v>827</v>
      </c>
      <c r="E60" s="3" t="s">
        <v>828</v>
      </c>
    </row>
    <row r="61">
      <c r="A61" s="3" t="s">
        <v>711</v>
      </c>
      <c r="B61" s="3" t="s">
        <v>743</v>
      </c>
      <c r="C61" s="3" t="s">
        <v>829</v>
      </c>
      <c r="D61" s="3" t="s">
        <v>830</v>
      </c>
      <c r="E61" s="3" t="s">
        <v>831</v>
      </c>
    </row>
    <row r="62">
      <c r="A62" s="3" t="s">
        <v>711</v>
      </c>
      <c r="B62" s="3" t="s">
        <v>743</v>
      </c>
      <c r="C62" s="3" t="s">
        <v>832</v>
      </c>
      <c r="D62" s="3" t="s">
        <v>833</v>
      </c>
      <c r="E62" s="3" t="s">
        <v>831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7.63"/>
    <col customWidth="1" min="3" max="3" width="15.75"/>
    <col customWidth="1" min="4" max="4" width="36.25"/>
    <col customWidth="1" min="5" max="5" width="49.88"/>
    <col customWidth="1" min="6" max="6" width="10.13"/>
    <col customWidth="1" min="7" max="7" width="71.63"/>
  </cols>
  <sheetData>
    <row r="1">
      <c r="A1" s="6" t="s">
        <v>834</v>
      </c>
      <c r="B1" s="7" t="s">
        <v>835</v>
      </c>
      <c r="C1" s="8" t="s">
        <v>836</v>
      </c>
      <c r="D1" s="7" t="s">
        <v>837</v>
      </c>
      <c r="E1" s="7" t="s">
        <v>838</v>
      </c>
      <c r="F1" s="9" t="s">
        <v>839</v>
      </c>
      <c r="G1" s="10" t="s">
        <v>840</v>
      </c>
      <c r="H1" s="11"/>
      <c r="I1" s="11"/>
      <c r="J1" s="11"/>
      <c r="K1" s="11"/>
      <c r="L1" s="11"/>
      <c r="M1" s="11"/>
      <c r="N1" s="11"/>
      <c r="O1" s="11"/>
      <c r="P1" s="11"/>
      <c r="Q1" s="11"/>
      <c r="R1" s="11"/>
      <c r="S1" s="11"/>
      <c r="T1" s="11"/>
      <c r="U1" s="11"/>
      <c r="V1" s="11"/>
      <c r="W1" s="11"/>
      <c r="X1" s="11"/>
      <c r="Y1" s="11"/>
      <c r="Z1" s="11"/>
      <c r="AA1" s="11"/>
    </row>
    <row r="2">
      <c r="A2" s="12"/>
      <c r="B2" s="13">
        <v>0.0</v>
      </c>
      <c r="C2" s="14" t="s">
        <v>841</v>
      </c>
      <c r="D2" s="13" t="s">
        <v>842</v>
      </c>
      <c r="E2" s="13" t="s">
        <v>843</v>
      </c>
      <c r="F2" s="15" t="b">
        <v>0</v>
      </c>
      <c r="G2" s="16"/>
    </row>
    <row r="3">
      <c r="A3" s="17">
        <v>45940.0</v>
      </c>
      <c r="B3" s="18" t="s">
        <v>844</v>
      </c>
      <c r="C3" s="18" t="s">
        <v>845</v>
      </c>
      <c r="D3" s="19" t="s">
        <v>846</v>
      </c>
      <c r="E3" s="19" t="s">
        <v>847</v>
      </c>
      <c r="F3" s="20" t="b">
        <v>0</v>
      </c>
      <c r="G3" s="21" t="s">
        <v>848</v>
      </c>
    </row>
    <row r="4">
      <c r="A4" s="22"/>
      <c r="B4" s="23" t="s">
        <v>849</v>
      </c>
      <c r="C4" s="24" t="s">
        <v>850</v>
      </c>
      <c r="D4" s="25" t="s">
        <v>851</v>
      </c>
      <c r="E4" s="26" t="s">
        <v>852</v>
      </c>
      <c r="F4" s="27" t="b">
        <v>1</v>
      </c>
      <c r="G4" s="28"/>
    </row>
    <row r="5">
      <c r="A5" s="12"/>
      <c r="B5" s="13">
        <v>1.0</v>
      </c>
      <c r="C5" s="14" t="s">
        <v>841</v>
      </c>
      <c r="D5" s="13" t="s">
        <v>853</v>
      </c>
      <c r="E5" s="13" t="s">
        <v>854</v>
      </c>
      <c r="F5" s="15" t="b">
        <v>0</v>
      </c>
      <c r="G5" s="16"/>
    </row>
    <row r="6">
      <c r="A6" s="17">
        <v>45954.0</v>
      </c>
      <c r="B6" s="18" t="s">
        <v>855</v>
      </c>
      <c r="C6" s="18" t="s">
        <v>845</v>
      </c>
      <c r="D6" s="19" t="s">
        <v>856</v>
      </c>
      <c r="E6" s="19" t="s">
        <v>857</v>
      </c>
      <c r="F6" s="20" t="b">
        <v>0</v>
      </c>
      <c r="G6" s="21" t="s">
        <v>858</v>
      </c>
    </row>
    <row r="7">
      <c r="A7" s="29"/>
      <c r="B7" s="23" t="s">
        <v>849</v>
      </c>
      <c r="C7" s="24" t="s">
        <v>850</v>
      </c>
      <c r="D7" s="25" t="s">
        <v>859</v>
      </c>
      <c r="E7" s="26" t="s">
        <v>860</v>
      </c>
      <c r="F7" s="27" t="b">
        <v>1</v>
      </c>
      <c r="G7" s="30"/>
    </row>
    <row r="8">
      <c r="A8" s="31"/>
      <c r="B8" s="23" t="s">
        <v>849</v>
      </c>
      <c r="C8" s="24" t="s">
        <v>850</v>
      </c>
      <c r="D8" s="25" t="s">
        <v>861</v>
      </c>
      <c r="E8" s="26" t="s">
        <v>862</v>
      </c>
      <c r="F8" s="27" t="b">
        <v>1</v>
      </c>
      <c r="G8" s="32"/>
    </row>
    <row r="9">
      <c r="A9" s="33"/>
      <c r="B9" s="23" t="s">
        <v>849</v>
      </c>
      <c r="C9" s="24" t="s">
        <v>863</v>
      </c>
      <c r="D9" s="25" t="s">
        <v>864</v>
      </c>
      <c r="E9" s="26" t="s">
        <v>865</v>
      </c>
      <c r="F9" s="27" t="b">
        <v>1</v>
      </c>
      <c r="G9" s="32"/>
    </row>
    <row r="10">
      <c r="A10" s="33"/>
      <c r="B10" s="23" t="s">
        <v>849</v>
      </c>
      <c r="C10" s="24" t="s">
        <v>850</v>
      </c>
      <c r="D10" s="25" t="s">
        <v>866</v>
      </c>
      <c r="E10" s="26" t="s">
        <v>867</v>
      </c>
      <c r="F10" s="27" t="b">
        <v>1</v>
      </c>
      <c r="G10" s="34" t="s">
        <v>868</v>
      </c>
    </row>
    <row r="11">
      <c r="A11" s="33"/>
      <c r="B11" s="23" t="s">
        <v>849</v>
      </c>
      <c r="C11" s="24" t="s">
        <v>863</v>
      </c>
      <c r="D11" s="25" t="s">
        <v>869</v>
      </c>
      <c r="E11" s="26" t="s">
        <v>870</v>
      </c>
      <c r="F11" s="27" t="b">
        <v>1</v>
      </c>
      <c r="G11" s="32"/>
    </row>
    <row r="12">
      <c r="A12" s="33"/>
      <c r="B12" s="23" t="s">
        <v>849</v>
      </c>
      <c r="C12" s="24" t="s">
        <v>871</v>
      </c>
      <c r="D12" s="25" t="s">
        <v>872</v>
      </c>
      <c r="E12" s="26" t="s">
        <v>873</v>
      </c>
      <c r="F12" s="27" t="b">
        <v>1</v>
      </c>
      <c r="G12" s="32"/>
    </row>
    <row r="13">
      <c r="A13" s="33"/>
      <c r="B13" s="23" t="s">
        <v>849</v>
      </c>
      <c r="C13" s="24" t="s">
        <v>874</v>
      </c>
      <c r="D13" s="25" t="s">
        <v>875</v>
      </c>
      <c r="E13" s="26" t="s">
        <v>876</v>
      </c>
      <c r="F13" s="27" t="b">
        <v>1</v>
      </c>
      <c r="G13" s="32"/>
    </row>
    <row r="14">
      <c r="A14" s="12"/>
      <c r="B14" s="13">
        <v>2.0</v>
      </c>
      <c r="C14" s="14" t="s">
        <v>841</v>
      </c>
      <c r="D14" s="13" t="s">
        <v>877</v>
      </c>
      <c r="E14" s="13" t="s">
        <v>878</v>
      </c>
      <c r="F14" s="15" t="b">
        <v>0</v>
      </c>
      <c r="G14" s="16"/>
    </row>
    <row r="15">
      <c r="A15" s="17">
        <v>45940.0</v>
      </c>
      <c r="B15" s="18" t="s">
        <v>879</v>
      </c>
      <c r="C15" s="18" t="s">
        <v>845</v>
      </c>
      <c r="D15" s="19" t="s">
        <v>880</v>
      </c>
      <c r="E15" s="19" t="s">
        <v>881</v>
      </c>
      <c r="F15" s="20" t="b">
        <v>0</v>
      </c>
      <c r="G15" s="21" t="s">
        <v>882</v>
      </c>
    </row>
    <row r="16">
      <c r="A16" s="33"/>
      <c r="B16" s="23" t="s">
        <v>849</v>
      </c>
      <c r="C16" s="35" t="s">
        <v>883</v>
      </c>
      <c r="D16" s="25" t="s">
        <v>884</v>
      </c>
      <c r="E16" s="26" t="s">
        <v>885</v>
      </c>
      <c r="F16" s="27" t="b">
        <v>1</v>
      </c>
      <c r="G16" s="30"/>
    </row>
    <row r="17">
      <c r="A17" s="33"/>
      <c r="B17" s="23" t="s">
        <v>849</v>
      </c>
      <c r="C17" s="35" t="s">
        <v>850</v>
      </c>
      <c r="D17" s="25" t="s">
        <v>886</v>
      </c>
      <c r="E17" s="26" t="s">
        <v>887</v>
      </c>
      <c r="F17" s="27" t="b">
        <v>1</v>
      </c>
      <c r="G17" s="30"/>
    </row>
    <row r="18">
      <c r="A18" s="33"/>
      <c r="B18" s="23" t="s">
        <v>849</v>
      </c>
      <c r="C18" s="35" t="s">
        <v>863</v>
      </c>
      <c r="D18" s="25" t="s">
        <v>888</v>
      </c>
      <c r="E18" s="26" t="s">
        <v>889</v>
      </c>
      <c r="F18" s="27" t="b">
        <v>1</v>
      </c>
      <c r="G18" s="30"/>
    </row>
    <row r="19">
      <c r="A19" s="33"/>
      <c r="B19" s="23" t="s">
        <v>849</v>
      </c>
      <c r="C19" s="35" t="s">
        <v>871</v>
      </c>
      <c r="D19" s="25" t="s">
        <v>890</v>
      </c>
      <c r="E19" s="26" t="s">
        <v>891</v>
      </c>
      <c r="F19" s="27" t="b">
        <v>1</v>
      </c>
      <c r="G19" s="30"/>
    </row>
    <row r="20">
      <c r="A20" s="33"/>
      <c r="B20" s="23" t="s">
        <v>849</v>
      </c>
      <c r="C20" s="35" t="s">
        <v>874</v>
      </c>
      <c r="D20" s="25" t="s">
        <v>892</v>
      </c>
      <c r="E20" s="26" t="s">
        <v>893</v>
      </c>
      <c r="F20" s="27" t="b">
        <v>1</v>
      </c>
      <c r="G20" s="30"/>
    </row>
    <row r="21">
      <c r="A21" s="17">
        <v>45943.0</v>
      </c>
      <c r="B21" s="18" t="s">
        <v>844</v>
      </c>
      <c r="C21" s="18" t="s">
        <v>845</v>
      </c>
      <c r="D21" s="19" t="s">
        <v>894</v>
      </c>
      <c r="E21" s="19" t="s">
        <v>895</v>
      </c>
      <c r="F21" s="20" t="b">
        <v>0</v>
      </c>
      <c r="G21" s="21" t="s">
        <v>896</v>
      </c>
    </row>
    <row r="22">
      <c r="A22" s="33"/>
      <c r="B22" s="23" t="s">
        <v>849</v>
      </c>
      <c r="C22" s="35" t="s">
        <v>883</v>
      </c>
      <c r="D22" s="25" t="s">
        <v>897</v>
      </c>
      <c r="E22" s="26" t="s">
        <v>898</v>
      </c>
      <c r="F22" s="27" t="b">
        <v>1</v>
      </c>
      <c r="G22" s="36" t="s">
        <v>899</v>
      </c>
    </row>
    <row r="23">
      <c r="A23" s="33"/>
      <c r="B23" s="23" t="s">
        <v>849</v>
      </c>
      <c r="C23" s="24" t="s">
        <v>850</v>
      </c>
      <c r="D23" s="25" t="s">
        <v>900</v>
      </c>
      <c r="E23" s="26" t="s">
        <v>901</v>
      </c>
      <c r="F23" s="27" t="b">
        <v>1</v>
      </c>
      <c r="G23" s="36" t="s">
        <v>902</v>
      </c>
    </row>
    <row r="24">
      <c r="A24" s="33"/>
      <c r="B24" s="23" t="s">
        <v>849</v>
      </c>
      <c r="C24" s="24" t="s">
        <v>850</v>
      </c>
      <c r="D24" s="25" t="s">
        <v>903</v>
      </c>
      <c r="E24" s="26" t="s">
        <v>904</v>
      </c>
      <c r="F24" s="27" t="b">
        <v>1</v>
      </c>
      <c r="G24" s="32"/>
    </row>
    <row r="25">
      <c r="A25" s="33"/>
      <c r="B25" s="23" t="s">
        <v>849</v>
      </c>
      <c r="C25" s="35" t="s">
        <v>850</v>
      </c>
      <c r="D25" s="25" t="s">
        <v>905</v>
      </c>
      <c r="E25" s="26" t="s">
        <v>906</v>
      </c>
      <c r="F25" s="27" t="b">
        <v>1</v>
      </c>
      <c r="G25" s="32"/>
    </row>
    <row r="26">
      <c r="A26" s="33"/>
      <c r="B26" s="23" t="s">
        <v>849</v>
      </c>
      <c r="C26" s="35" t="s">
        <v>863</v>
      </c>
      <c r="D26" s="25" t="s">
        <v>907</v>
      </c>
      <c r="E26" s="26" t="s">
        <v>908</v>
      </c>
      <c r="F26" s="27" t="b">
        <v>1</v>
      </c>
      <c r="G26" s="36" t="s">
        <v>909</v>
      </c>
    </row>
    <row r="27">
      <c r="A27" s="33"/>
      <c r="B27" s="23" t="s">
        <v>849</v>
      </c>
      <c r="C27" s="35" t="s">
        <v>871</v>
      </c>
      <c r="D27" s="25" t="s">
        <v>910</v>
      </c>
      <c r="E27" s="26" t="s">
        <v>911</v>
      </c>
      <c r="F27" s="27" t="b">
        <v>1</v>
      </c>
      <c r="G27" s="32"/>
    </row>
    <row r="28">
      <c r="A28" s="33"/>
      <c r="B28" s="23" t="s">
        <v>849</v>
      </c>
      <c r="C28" s="35" t="s">
        <v>874</v>
      </c>
      <c r="D28" s="25" t="s">
        <v>912</v>
      </c>
      <c r="E28" s="26" t="s">
        <v>913</v>
      </c>
      <c r="F28" s="27" t="b">
        <v>1</v>
      </c>
      <c r="G28" s="32"/>
    </row>
    <row r="29">
      <c r="A29" s="37"/>
      <c r="B29" s="18" t="s">
        <v>855</v>
      </c>
      <c r="C29" s="18" t="s">
        <v>845</v>
      </c>
      <c r="D29" s="19" t="s">
        <v>914</v>
      </c>
      <c r="E29" s="19" t="s">
        <v>915</v>
      </c>
      <c r="F29" s="20" t="b">
        <v>0</v>
      </c>
      <c r="G29" s="21" t="s">
        <v>916</v>
      </c>
    </row>
    <row r="30">
      <c r="A30" s="33"/>
      <c r="B30" s="23" t="s">
        <v>849</v>
      </c>
      <c r="C30" s="35" t="s">
        <v>883</v>
      </c>
      <c r="D30" s="25" t="s">
        <v>917</v>
      </c>
      <c r="E30" s="26" t="s">
        <v>918</v>
      </c>
      <c r="F30" s="27" t="b">
        <v>1</v>
      </c>
      <c r="G30" s="30"/>
    </row>
    <row r="31">
      <c r="A31" s="33"/>
      <c r="B31" s="23" t="s">
        <v>849</v>
      </c>
      <c r="C31" s="35" t="s">
        <v>850</v>
      </c>
      <c r="D31" s="25" t="s">
        <v>919</v>
      </c>
      <c r="E31" s="26" t="s">
        <v>920</v>
      </c>
      <c r="F31" s="27" t="b">
        <v>1</v>
      </c>
      <c r="G31" s="30"/>
    </row>
    <row r="32">
      <c r="A32" s="33"/>
      <c r="B32" s="23" t="s">
        <v>849</v>
      </c>
      <c r="C32" s="35" t="s">
        <v>863</v>
      </c>
      <c r="D32" s="25" t="s">
        <v>921</v>
      </c>
      <c r="E32" s="26" t="s">
        <v>922</v>
      </c>
      <c r="F32" s="27" t="b">
        <v>1</v>
      </c>
      <c r="G32" s="30"/>
    </row>
    <row r="33">
      <c r="A33" s="33"/>
      <c r="B33" s="23" t="s">
        <v>849</v>
      </c>
      <c r="C33" s="35" t="s">
        <v>871</v>
      </c>
      <c r="D33" s="25" t="s">
        <v>923</v>
      </c>
      <c r="E33" s="26" t="s">
        <v>924</v>
      </c>
      <c r="F33" s="27" t="b">
        <v>1</v>
      </c>
      <c r="G33" s="30"/>
    </row>
    <row r="34">
      <c r="A34" s="33"/>
      <c r="B34" s="23" t="s">
        <v>849</v>
      </c>
      <c r="C34" s="35" t="s">
        <v>874</v>
      </c>
      <c r="D34" s="25" t="s">
        <v>925</v>
      </c>
      <c r="E34" s="26" t="s">
        <v>926</v>
      </c>
      <c r="F34" s="27" t="b">
        <v>1</v>
      </c>
      <c r="G34" s="30"/>
    </row>
    <row r="35">
      <c r="A35" s="12"/>
      <c r="B35" s="13">
        <v>3.0</v>
      </c>
      <c r="C35" s="14" t="s">
        <v>841</v>
      </c>
      <c r="D35" s="13" t="s">
        <v>927</v>
      </c>
      <c r="E35" s="13" t="s">
        <v>928</v>
      </c>
      <c r="F35" s="15" t="b">
        <v>0</v>
      </c>
      <c r="G35" s="16"/>
    </row>
    <row r="36">
      <c r="A36" s="17"/>
      <c r="B36" s="18" t="s">
        <v>855</v>
      </c>
      <c r="C36" s="18" t="s">
        <v>845</v>
      </c>
      <c r="D36" s="19" t="s">
        <v>929</v>
      </c>
      <c r="E36" s="19" t="s">
        <v>930</v>
      </c>
      <c r="F36" s="20" t="b">
        <v>0</v>
      </c>
      <c r="G36" s="21" t="s">
        <v>931</v>
      </c>
    </row>
    <row r="37">
      <c r="A37" s="33"/>
      <c r="B37" s="23" t="s">
        <v>849</v>
      </c>
      <c r="C37" s="24" t="s">
        <v>883</v>
      </c>
      <c r="D37" s="25" t="s">
        <v>932</v>
      </c>
      <c r="E37" s="26" t="s">
        <v>933</v>
      </c>
      <c r="F37" s="27" t="b">
        <v>1</v>
      </c>
      <c r="G37" s="32"/>
    </row>
    <row r="38">
      <c r="A38" s="33"/>
      <c r="B38" s="23" t="s">
        <v>849</v>
      </c>
      <c r="C38" s="35" t="s">
        <v>850</v>
      </c>
      <c r="D38" s="25" t="s">
        <v>929</v>
      </c>
      <c r="E38" s="26" t="s">
        <v>934</v>
      </c>
      <c r="F38" s="27" t="b">
        <v>1</v>
      </c>
      <c r="G38" s="30"/>
    </row>
    <row r="39">
      <c r="A39" s="33"/>
      <c r="B39" s="23" t="s">
        <v>849</v>
      </c>
      <c r="C39" s="35" t="s">
        <v>863</v>
      </c>
      <c r="D39" s="25" t="s">
        <v>935</v>
      </c>
      <c r="E39" s="26" t="s">
        <v>936</v>
      </c>
      <c r="F39" s="27" t="b">
        <v>1</v>
      </c>
      <c r="G39" s="32"/>
    </row>
    <row r="40">
      <c r="A40" s="33"/>
      <c r="B40" s="23" t="s">
        <v>849</v>
      </c>
      <c r="C40" s="35" t="s">
        <v>871</v>
      </c>
      <c r="D40" s="25" t="s">
        <v>937</v>
      </c>
      <c r="E40" s="26" t="s">
        <v>938</v>
      </c>
      <c r="F40" s="27" t="b">
        <v>1</v>
      </c>
      <c r="G40" s="32"/>
    </row>
    <row r="41">
      <c r="A41" s="33"/>
      <c r="B41" s="23" t="s">
        <v>849</v>
      </c>
      <c r="C41" s="35" t="s">
        <v>874</v>
      </c>
      <c r="D41" s="25" t="s">
        <v>939</v>
      </c>
      <c r="E41" s="26" t="s">
        <v>940</v>
      </c>
      <c r="F41" s="27" t="b">
        <v>1</v>
      </c>
      <c r="G41" s="32"/>
    </row>
    <row r="42">
      <c r="A42" s="17">
        <v>46038.0</v>
      </c>
      <c r="B42" s="18" t="s">
        <v>844</v>
      </c>
      <c r="C42" s="18" t="s">
        <v>845</v>
      </c>
      <c r="D42" s="19" t="s">
        <v>941</v>
      </c>
      <c r="E42" s="19" t="s">
        <v>942</v>
      </c>
      <c r="F42" s="38" t="b">
        <v>0</v>
      </c>
      <c r="G42" s="39"/>
    </row>
    <row r="43">
      <c r="A43" s="33"/>
      <c r="B43" s="23" t="s">
        <v>849</v>
      </c>
      <c r="C43" s="35" t="s">
        <v>883</v>
      </c>
      <c r="D43" s="25" t="s">
        <v>943</v>
      </c>
      <c r="E43" s="25" t="s">
        <v>944</v>
      </c>
      <c r="F43" s="27" t="b">
        <v>0</v>
      </c>
      <c r="G43" s="32"/>
    </row>
    <row r="44">
      <c r="A44" s="33"/>
      <c r="B44" s="23" t="s">
        <v>849</v>
      </c>
      <c r="C44" s="24" t="s">
        <v>850</v>
      </c>
      <c r="D44" s="25" t="s">
        <v>945</v>
      </c>
      <c r="E44" s="26" t="s">
        <v>946</v>
      </c>
      <c r="F44" s="27" t="b">
        <v>0</v>
      </c>
      <c r="G44" s="32"/>
    </row>
    <row r="45">
      <c r="A45" s="33"/>
      <c r="B45" s="23" t="s">
        <v>849</v>
      </c>
      <c r="C45" s="35" t="s">
        <v>850</v>
      </c>
      <c r="D45" s="25" t="s">
        <v>947</v>
      </c>
      <c r="E45" s="26" t="s">
        <v>948</v>
      </c>
      <c r="F45" s="27" t="b">
        <v>0</v>
      </c>
      <c r="G45" s="32"/>
    </row>
    <row r="46">
      <c r="A46" s="33"/>
      <c r="B46" s="23" t="s">
        <v>849</v>
      </c>
      <c r="C46" s="35" t="s">
        <v>863</v>
      </c>
      <c r="D46" s="25" t="s">
        <v>949</v>
      </c>
      <c r="E46" s="26" t="s">
        <v>950</v>
      </c>
      <c r="F46" s="27" t="b">
        <v>0</v>
      </c>
      <c r="G46" s="32"/>
    </row>
    <row r="47">
      <c r="A47" s="33"/>
      <c r="B47" s="23" t="s">
        <v>849</v>
      </c>
      <c r="C47" s="35" t="s">
        <v>871</v>
      </c>
      <c r="D47" s="25" t="s">
        <v>951</v>
      </c>
      <c r="E47" s="25" t="s">
        <v>952</v>
      </c>
      <c r="F47" s="27" t="b">
        <v>0</v>
      </c>
      <c r="G47" s="32"/>
    </row>
    <row r="48">
      <c r="A48" s="33"/>
      <c r="B48" s="23" t="s">
        <v>849</v>
      </c>
      <c r="C48" s="35" t="s">
        <v>874</v>
      </c>
      <c r="D48" s="25" t="s">
        <v>953</v>
      </c>
      <c r="E48" s="26" t="s">
        <v>954</v>
      </c>
      <c r="F48" s="27" t="b">
        <v>0</v>
      </c>
      <c r="G48" s="32"/>
    </row>
    <row r="49">
      <c r="A49" s="40"/>
      <c r="B49" s="13">
        <v>4.0</v>
      </c>
      <c r="C49" s="14" t="s">
        <v>841</v>
      </c>
      <c r="D49" s="13" t="s">
        <v>955</v>
      </c>
      <c r="E49" s="13" t="s">
        <v>956</v>
      </c>
      <c r="F49" s="15" t="b">
        <v>0</v>
      </c>
      <c r="G49" s="16"/>
    </row>
    <row r="50">
      <c r="A50" s="17">
        <v>46045.0</v>
      </c>
      <c r="B50" s="18" t="s">
        <v>855</v>
      </c>
      <c r="C50" s="18" t="s">
        <v>845</v>
      </c>
      <c r="D50" s="19" t="s">
        <v>957</v>
      </c>
      <c r="E50" s="19" t="s">
        <v>958</v>
      </c>
      <c r="F50" s="20" t="b">
        <v>0</v>
      </c>
      <c r="G50" s="21" t="s">
        <v>959</v>
      </c>
    </row>
    <row r="51">
      <c r="A51" s="33"/>
      <c r="B51" s="23" t="s">
        <v>849</v>
      </c>
      <c r="C51" s="24" t="s">
        <v>850</v>
      </c>
      <c r="D51" s="25" t="s">
        <v>960</v>
      </c>
      <c r="E51" s="26" t="s">
        <v>961</v>
      </c>
      <c r="F51" s="27" t="b">
        <v>0</v>
      </c>
      <c r="G51" s="30"/>
    </row>
    <row r="52">
      <c r="A52" s="33"/>
      <c r="B52" s="23" t="s">
        <v>849</v>
      </c>
      <c r="C52" s="24" t="s">
        <v>850</v>
      </c>
      <c r="D52" s="25" t="s">
        <v>962</v>
      </c>
      <c r="E52" s="26" t="s">
        <v>963</v>
      </c>
      <c r="F52" s="27" t="b">
        <v>0</v>
      </c>
      <c r="G52" s="30"/>
    </row>
    <row r="53">
      <c r="A53" s="33"/>
      <c r="B53" s="23" t="s">
        <v>849</v>
      </c>
      <c r="C53" s="35" t="s">
        <v>863</v>
      </c>
      <c r="D53" s="25" t="s">
        <v>964</v>
      </c>
      <c r="E53" s="26" t="s">
        <v>965</v>
      </c>
      <c r="F53" s="27" t="b">
        <v>0</v>
      </c>
      <c r="G53" s="30"/>
    </row>
    <row r="54">
      <c r="A54" s="33"/>
      <c r="B54" s="23" t="s">
        <v>849</v>
      </c>
      <c r="C54" s="35" t="s">
        <v>871</v>
      </c>
      <c r="D54" s="25" t="s">
        <v>966</v>
      </c>
      <c r="E54" s="26" t="s">
        <v>967</v>
      </c>
      <c r="F54" s="27" t="b">
        <v>0</v>
      </c>
      <c r="G54" s="30"/>
    </row>
    <row r="55">
      <c r="A55" s="33"/>
      <c r="B55" s="23" t="s">
        <v>849</v>
      </c>
      <c r="C55" s="35" t="s">
        <v>874</v>
      </c>
      <c r="D55" s="25" t="s">
        <v>968</v>
      </c>
      <c r="E55" s="26" t="s">
        <v>969</v>
      </c>
      <c r="F55" s="27" t="b">
        <v>0</v>
      </c>
      <c r="G55" s="30"/>
    </row>
    <row r="56">
      <c r="A56" s="41"/>
      <c r="B56" s="42" t="s">
        <v>844</v>
      </c>
      <c r="C56" s="43" t="s">
        <v>845</v>
      </c>
      <c r="D56" s="44" t="s">
        <v>970</v>
      </c>
      <c r="E56" s="44" t="s">
        <v>971</v>
      </c>
      <c r="F56" s="45" t="b">
        <v>0</v>
      </c>
      <c r="G56" s="46"/>
      <c r="H56" s="47"/>
      <c r="I56" s="47"/>
      <c r="J56" s="47"/>
      <c r="K56" s="47"/>
      <c r="L56" s="47"/>
      <c r="M56" s="47"/>
      <c r="N56" s="47"/>
      <c r="O56" s="47"/>
      <c r="P56" s="47"/>
      <c r="Q56" s="47"/>
      <c r="R56" s="47"/>
      <c r="S56" s="47"/>
      <c r="T56" s="47"/>
      <c r="U56" s="47"/>
      <c r="V56" s="47"/>
      <c r="W56" s="47"/>
      <c r="X56" s="47"/>
      <c r="Y56" s="47"/>
      <c r="Z56" s="47"/>
      <c r="AA56" s="47"/>
    </row>
    <row r="57">
      <c r="A57" s="48"/>
      <c r="B57" s="24" t="s">
        <v>972</v>
      </c>
      <c r="C57" s="49" t="s">
        <v>883</v>
      </c>
      <c r="D57" s="26" t="s">
        <v>973</v>
      </c>
      <c r="E57" s="26" t="s">
        <v>974</v>
      </c>
      <c r="F57" s="27" t="b">
        <v>0</v>
      </c>
      <c r="G57" s="50"/>
      <c r="H57" s="47"/>
      <c r="I57" s="47"/>
      <c r="J57" s="47"/>
      <c r="K57" s="47"/>
      <c r="L57" s="47"/>
      <c r="M57" s="47"/>
      <c r="N57" s="47"/>
      <c r="O57" s="47"/>
      <c r="P57" s="47"/>
      <c r="Q57" s="47"/>
      <c r="R57" s="47"/>
      <c r="S57" s="47"/>
      <c r="T57" s="47"/>
      <c r="U57" s="47"/>
      <c r="V57" s="47"/>
      <c r="W57" s="47"/>
      <c r="X57" s="47"/>
      <c r="Y57" s="47"/>
      <c r="Z57" s="47"/>
      <c r="AA57" s="47"/>
    </row>
    <row r="58">
      <c r="A58" s="48"/>
      <c r="B58" s="24" t="s">
        <v>972</v>
      </c>
      <c r="C58" s="49" t="s">
        <v>850</v>
      </c>
      <c r="D58" s="26" t="s">
        <v>975</v>
      </c>
      <c r="E58" s="26" t="s">
        <v>976</v>
      </c>
      <c r="F58" s="27" t="b">
        <v>0</v>
      </c>
      <c r="G58" s="50"/>
      <c r="H58" s="47"/>
      <c r="I58" s="47"/>
      <c r="J58" s="47"/>
      <c r="K58" s="47"/>
      <c r="L58" s="47"/>
      <c r="M58" s="47"/>
      <c r="N58" s="47"/>
      <c r="O58" s="47"/>
      <c r="P58" s="47"/>
      <c r="Q58" s="47"/>
      <c r="R58" s="47"/>
      <c r="S58" s="47"/>
      <c r="T58" s="47"/>
      <c r="U58" s="47"/>
      <c r="V58" s="47"/>
      <c r="W58" s="47"/>
      <c r="X58" s="47"/>
      <c r="Y58" s="47"/>
      <c r="Z58" s="47"/>
      <c r="AA58" s="47"/>
    </row>
    <row r="59">
      <c r="A59" s="48"/>
      <c r="B59" s="24" t="s">
        <v>977</v>
      </c>
      <c r="C59" s="24" t="s">
        <v>863</v>
      </c>
      <c r="D59" s="26" t="s">
        <v>978</v>
      </c>
      <c r="E59" s="26" t="s">
        <v>979</v>
      </c>
      <c r="F59" s="27" t="b">
        <v>0</v>
      </c>
      <c r="G59" s="50"/>
      <c r="H59" s="47"/>
      <c r="I59" s="47"/>
      <c r="J59" s="47"/>
      <c r="K59" s="47"/>
      <c r="L59" s="47"/>
      <c r="M59" s="47"/>
      <c r="N59" s="47"/>
      <c r="O59" s="47"/>
      <c r="P59" s="47"/>
      <c r="Q59" s="47"/>
      <c r="R59" s="47"/>
      <c r="S59" s="47"/>
      <c r="T59" s="47"/>
      <c r="U59" s="47"/>
      <c r="V59" s="47"/>
      <c r="W59" s="47"/>
      <c r="X59" s="47"/>
      <c r="Y59" s="47"/>
      <c r="Z59" s="47"/>
      <c r="AA59" s="47"/>
    </row>
    <row r="60">
      <c r="A60" s="48"/>
      <c r="B60" s="24" t="s">
        <v>972</v>
      </c>
      <c r="C60" s="24" t="s">
        <v>850</v>
      </c>
      <c r="D60" s="26" t="s">
        <v>980</v>
      </c>
      <c r="E60" s="26" t="s">
        <v>981</v>
      </c>
      <c r="F60" s="27" t="b">
        <v>0</v>
      </c>
      <c r="G60" s="50"/>
      <c r="H60" s="47"/>
      <c r="I60" s="47"/>
      <c r="J60" s="47"/>
      <c r="K60" s="47"/>
      <c r="L60" s="47"/>
      <c r="M60" s="47"/>
      <c r="N60" s="47"/>
      <c r="O60" s="47"/>
      <c r="P60" s="47"/>
      <c r="Q60" s="47"/>
      <c r="R60" s="47"/>
      <c r="S60" s="47"/>
      <c r="T60" s="47"/>
      <c r="U60" s="47"/>
      <c r="V60" s="47"/>
      <c r="W60" s="47"/>
      <c r="X60" s="47"/>
      <c r="Y60" s="47"/>
      <c r="Z60" s="47"/>
      <c r="AA60" s="47"/>
    </row>
    <row r="61">
      <c r="A61" s="48"/>
      <c r="B61" s="24" t="s">
        <v>972</v>
      </c>
      <c r="C61" s="49" t="s">
        <v>863</v>
      </c>
      <c r="D61" s="26" t="s">
        <v>982</v>
      </c>
      <c r="E61" s="26" t="s">
        <v>983</v>
      </c>
      <c r="F61" s="27" t="b">
        <v>0</v>
      </c>
      <c r="G61" s="50"/>
      <c r="H61" s="47"/>
      <c r="I61" s="47"/>
      <c r="J61" s="47"/>
      <c r="K61" s="47"/>
      <c r="L61" s="47"/>
      <c r="M61" s="47"/>
      <c r="N61" s="47"/>
      <c r="O61" s="47"/>
      <c r="P61" s="47"/>
      <c r="Q61" s="47"/>
      <c r="R61" s="47"/>
      <c r="S61" s="47"/>
      <c r="T61" s="47"/>
      <c r="U61" s="47"/>
      <c r="V61" s="47"/>
      <c r="W61" s="47"/>
      <c r="X61" s="47"/>
      <c r="Y61" s="47"/>
      <c r="Z61" s="47"/>
      <c r="AA61" s="47"/>
    </row>
    <row r="62">
      <c r="A62" s="48"/>
      <c r="B62" s="24" t="s">
        <v>984</v>
      </c>
      <c r="C62" s="49" t="s">
        <v>871</v>
      </c>
      <c r="D62" s="26" t="s">
        <v>985</v>
      </c>
      <c r="E62" s="26" t="s">
        <v>986</v>
      </c>
      <c r="F62" s="27" t="b">
        <v>0</v>
      </c>
      <c r="G62" s="50"/>
      <c r="H62" s="47"/>
      <c r="I62" s="47"/>
      <c r="J62" s="47"/>
      <c r="K62" s="47"/>
      <c r="L62" s="47"/>
      <c r="M62" s="47"/>
      <c r="N62" s="47"/>
      <c r="O62" s="47"/>
      <c r="P62" s="47"/>
      <c r="Q62" s="47"/>
      <c r="R62" s="47"/>
      <c r="S62" s="47"/>
      <c r="T62" s="47"/>
      <c r="U62" s="47"/>
      <c r="V62" s="47"/>
      <c r="W62" s="47"/>
      <c r="X62" s="47"/>
      <c r="Y62" s="47"/>
      <c r="Z62" s="47"/>
      <c r="AA62" s="47"/>
    </row>
    <row r="63">
      <c r="A63" s="48"/>
      <c r="B63" s="24" t="s">
        <v>984</v>
      </c>
      <c r="C63" s="49" t="s">
        <v>874</v>
      </c>
      <c r="D63" s="26" t="s">
        <v>987</v>
      </c>
      <c r="E63" s="26" t="s">
        <v>988</v>
      </c>
      <c r="F63" s="27" t="b">
        <v>0</v>
      </c>
      <c r="G63" s="50"/>
      <c r="H63" s="47"/>
      <c r="I63" s="47"/>
      <c r="J63" s="47"/>
      <c r="K63" s="47"/>
      <c r="L63" s="47"/>
      <c r="M63" s="47"/>
      <c r="N63" s="47"/>
      <c r="O63" s="47"/>
      <c r="P63" s="47"/>
      <c r="Q63" s="47"/>
      <c r="R63" s="47"/>
      <c r="S63" s="47"/>
      <c r="T63" s="47"/>
      <c r="U63" s="47"/>
      <c r="V63" s="47"/>
      <c r="W63" s="47"/>
      <c r="X63" s="47"/>
      <c r="Y63" s="47"/>
      <c r="Z63" s="47"/>
      <c r="AA63" s="47"/>
    </row>
    <row r="64">
      <c r="A64" s="17"/>
      <c r="B64" s="18" t="s">
        <v>855</v>
      </c>
      <c r="C64" s="18" t="s">
        <v>845</v>
      </c>
      <c r="D64" s="19" t="s">
        <v>989</v>
      </c>
      <c r="E64" s="19" t="s">
        <v>990</v>
      </c>
      <c r="F64" s="20"/>
      <c r="G64" s="21" t="s">
        <v>991</v>
      </c>
    </row>
    <row r="65">
      <c r="A65" s="33"/>
      <c r="B65" s="23" t="s">
        <v>992</v>
      </c>
      <c r="C65" s="35" t="s">
        <v>883</v>
      </c>
      <c r="D65" s="25" t="s">
        <v>993</v>
      </c>
      <c r="E65" s="26" t="s">
        <v>994</v>
      </c>
      <c r="F65" s="27" t="b">
        <v>0</v>
      </c>
      <c r="G65" s="32"/>
    </row>
    <row r="66">
      <c r="A66" s="33"/>
      <c r="B66" s="23" t="s">
        <v>992</v>
      </c>
      <c r="C66" s="35" t="s">
        <v>850</v>
      </c>
      <c r="D66" s="25" t="s">
        <v>995</v>
      </c>
      <c r="E66" s="26" t="s">
        <v>996</v>
      </c>
      <c r="F66" s="27" t="b">
        <v>0</v>
      </c>
      <c r="G66" s="32"/>
    </row>
    <row r="67">
      <c r="A67" s="33"/>
      <c r="B67" s="23" t="s">
        <v>992</v>
      </c>
      <c r="C67" s="24" t="s">
        <v>850</v>
      </c>
      <c r="D67" s="25" t="s">
        <v>997</v>
      </c>
      <c r="E67" s="26" t="s">
        <v>998</v>
      </c>
      <c r="F67" s="27" t="b">
        <v>0</v>
      </c>
      <c r="G67" s="32"/>
    </row>
    <row r="68">
      <c r="A68" s="33"/>
      <c r="B68" s="23" t="s">
        <v>992</v>
      </c>
      <c r="C68" s="35" t="s">
        <v>863</v>
      </c>
      <c r="D68" s="25" t="s">
        <v>999</v>
      </c>
      <c r="E68" s="26" t="s">
        <v>1000</v>
      </c>
      <c r="F68" s="27" t="b">
        <v>0</v>
      </c>
      <c r="G68" s="32"/>
    </row>
    <row r="69">
      <c r="A69" s="33"/>
      <c r="B69" s="23" t="s">
        <v>992</v>
      </c>
      <c r="C69" s="24" t="s">
        <v>850</v>
      </c>
      <c r="D69" s="25" t="s">
        <v>1001</v>
      </c>
      <c r="E69" s="26" t="s">
        <v>1002</v>
      </c>
      <c r="F69" s="27" t="b">
        <v>0</v>
      </c>
      <c r="G69" s="32"/>
    </row>
    <row r="70">
      <c r="A70" s="33"/>
      <c r="B70" s="23" t="s">
        <v>992</v>
      </c>
      <c r="C70" s="24" t="s">
        <v>863</v>
      </c>
      <c r="D70" s="25" t="s">
        <v>1003</v>
      </c>
      <c r="E70" s="26" t="s">
        <v>1004</v>
      </c>
      <c r="F70" s="27" t="b">
        <v>0</v>
      </c>
      <c r="G70" s="30"/>
    </row>
    <row r="71">
      <c r="A71" s="33"/>
      <c r="B71" s="23" t="s">
        <v>992</v>
      </c>
      <c r="C71" s="24" t="s">
        <v>871</v>
      </c>
      <c r="D71" s="25" t="s">
        <v>1005</v>
      </c>
      <c r="E71" s="26" t="s">
        <v>1006</v>
      </c>
      <c r="F71" s="27" t="b">
        <v>0</v>
      </c>
      <c r="G71" s="30"/>
    </row>
    <row r="72">
      <c r="A72" s="33"/>
      <c r="B72" s="23" t="s">
        <v>992</v>
      </c>
      <c r="C72" s="35" t="s">
        <v>874</v>
      </c>
      <c r="D72" s="25" t="s">
        <v>989</v>
      </c>
      <c r="E72" s="26" t="s">
        <v>1007</v>
      </c>
      <c r="F72" s="27" t="b">
        <v>0</v>
      </c>
      <c r="G72" s="30"/>
    </row>
    <row r="73">
      <c r="A73" s="40"/>
      <c r="B73" s="13">
        <v>5.0</v>
      </c>
      <c r="C73" s="14" t="s">
        <v>841</v>
      </c>
      <c r="D73" s="13"/>
      <c r="E73" s="13"/>
      <c r="F73" s="15" t="b">
        <v>0</v>
      </c>
      <c r="G73" s="16"/>
    </row>
    <row r="74">
      <c r="A74" s="33"/>
      <c r="B74" s="23" t="s">
        <v>977</v>
      </c>
      <c r="C74" s="35" t="s">
        <v>883</v>
      </c>
      <c r="D74" s="25"/>
      <c r="E74" s="26"/>
      <c r="F74" s="27" t="b">
        <v>0</v>
      </c>
      <c r="G74" s="30"/>
    </row>
    <row r="75">
      <c r="A75" s="33"/>
      <c r="B75" s="23" t="s">
        <v>977</v>
      </c>
      <c r="C75" s="35" t="s">
        <v>850</v>
      </c>
      <c r="D75" s="25"/>
      <c r="E75" s="26"/>
      <c r="F75" s="27" t="b">
        <v>0</v>
      </c>
      <c r="G75" s="30"/>
    </row>
    <row r="76">
      <c r="A76" s="33"/>
      <c r="B76" s="23" t="s">
        <v>977</v>
      </c>
      <c r="C76" s="35" t="s">
        <v>863</v>
      </c>
      <c r="D76" s="25"/>
      <c r="E76" s="26"/>
      <c r="F76" s="27" t="b">
        <v>0</v>
      </c>
      <c r="G76" s="30"/>
    </row>
    <row r="77">
      <c r="A77" s="33"/>
      <c r="B77" s="23" t="s">
        <v>977</v>
      </c>
      <c r="C77" s="24" t="s">
        <v>850</v>
      </c>
      <c r="D77" s="25"/>
      <c r="E77" s="26"/>
      <c r="F77" s="27" t="b">
        <v>0</v>
      </c>
      <c r="G77" s="30"/>
    </row>
    <row r="78">
      <c r="A78" s="33"/>
      <c r="B78" s="23" t="s">
        <v>977</v>
      </c>
      <c r="C78" s="24" t="s">
        <v>863</v>
      </c>
      <c r="D78" s="25"/>
      <c r="E78" s="26"/>
      <c r="F78" s="27" t="b">
        <v>0</v>
      </c>
      <c r="G78" s="30"/>
    </row>
    <row r="79">
      <c r="A79" s="33"/>
      <c r="B79" s="23" t="s">
        <v>977</v>
      </c>
      <c r="C79" s="24" t="s">
        <v>871</v>
      </c>
      <c r="D79" s="25"/>
      <c r="E79" s="26"/>
      <c r="F79" s="27" t="b">
        <v>0</v>
      </c>
      <c r="G79" s="30"/>
    </row>
    <row r="80">
      <c r="A80" s="33"/>
      <c r="B80" s="23" t="s">
        <v>977</v>
      </c>
      <c r="C80" s="35" t="s">
        <v>874</v>
      </c>
      <c r="D80" s="25"/>
      <c r="E80" s="26"/>
      <c r="F80" s="27" t="b">
        <v>0</v>
      </c>
      <c r="G80" s="30"/>
    </row>
    <row r="81">
      <c r="A81" s="33"/>
      <c r="B81" s="51"/>
      <c r="C81" s="52"/>
      <c r="D81" s="25"/>
      <c r="E81" s="51"/>
      <c r="F81" s="53" t="b">
        <v>0</v>
      </c>
      <c r="G81" s="30"/>
    </row>
    <row r="82">
      <c r="A82" s="33"/>
      <c r="B82" s="51"/>
      <c r="C82" s="52"/>
      <c r="D82" s="51"/>
      <c r="E82" s="51"/>
      <c r="F82" s="53" t="b">
        <v>0</v>
      </c>
      <c r="G82" s="30"/>
    </row>
    <row r="83">
      <c r="A83" s="33"/>
      <c r="B83" s="51"/>
      <c r="C83" s="52"/>
      <c r="D83" s="51"/>
      <c r="E83" s="51"/>
      <c r="F83" s="53" t="b">
        <v>0</v>
      </c>
      <c r="G83" s="30"/>
    </row>
    <row r="84">
      <c r="A84" s="33"/>
      <c r="B84" s="51"/>
      <c r="C84" s="52"/>
      <c r="D84" s="51"/>
      <c r="E84" s="51"/>
      <c r="F84" s="53" t="b">
        <v>0</v>
      </c>
      <c r="G84" s="30"/>
    </row>
    <row r="85">
      <c r="A85" s="33"/>
      <c r="B85" s="51"/>
      <c r="C85" s="52"/>
      <c r="D85" s="51"/>
      <c r="E85" s="51"/>
      <c r="F85" s="53" t="b">
        <v>0</v>
      </c>
      <c r="G85" s="30"/>
    </row>
    <row r="86">
      <c r="A86" s="33"/>
      <c r="B86" s="51"/>
      <c r="C86" s="52"/>
      <c r="D86" s="51"/>
      <c r="E86" s="51"/>
      <c r="F86" s="53" t="b">
        <v>0</v>
      </c>
      <c r="G86" s="30"/>
    </row>
    <row r="87">
      <c r="A87" s="33"/>
      <c r="B87" s="51"/>
      <c r="C87" s="52"/>
      <c r="D87" s="51"/>
      <c r="E87" s="51"/>
      <c r="F87" s="53" t="b">
        <v>0</v>
      </c>
      <c r="G87" s="30"/>
    </row>
    <row r="88">
      <c r="A88" s="33"/>
      <c r="B88" s="51"/>
      <c r="C88" s="52"/>
      <c r="D88" s="51"/>
      <c r="E88" s="51"/>
      <c r="F88" s="53" t="b">
        <v>0</v>
      </c>
      <c r="G88" s="30"/>
    </row>
    <row r="89">
      <c r="A89" s="33"/>
      <c r="B89" s="51"/>
      <c r="C89" s="52"/>
      <c r="D89" s="51"/>
      <c r="E89" s="51"/>
      <c r="F89" s="53" t="b">
        <v>0</v>
      </c>
      <c r="G89" s="30"/>
    </row>
    <row r="90">
      <c r="A90" s="33"/>
      <c r="B90" s="51"/>
      <c r="C90" s="52"/>
      <c r="D90" s="51"/>
      <c r="E90" s="51"/>
      <c r="F90" s="53" t="b">
        <v>0</v>
      </c>
      <c r="G90" s="30"/>
    </row>
    <row r="91">
      <c r="A91" s="33"/>
      <c r="B91" s="51"/>
      <c r="C91" s="52"/>
      <c r="D91" s="51"/>
      <c r="E91" s="51"/>
      <c r="F91" s="53" t="b">
        <v>0</v>
      </c>
      <c r="G91" s="30"/>
    </row>
    <row r="92">
      <c r="A92" s="33"/>
      <c r="B92" s="51"/>
      <c r="C92" s="52"/>
      <c r="D92" s="51"/>
      <c r="E92" s="51"/>
      <c r="F92" s="53" t="b">
        <v>0</v>
      </c>
      <c r="G92" s="30"/>
    </row>
    <row r="93">
      <c r="A93" s="33"/>
      <c r="B93" s="51"/>
      <c r="C93" s="52"/>
      <c r="D93" s="51"/>
      <c r="E93" s="51"/>
      <c r="F93" s="53" t="b">
        <v>0</v>
      </c>
      <c r="G93" s="30"/>
    </row>
    <row r="94">
      <c r="A94" s="33"/>
      <c r="B94" s="51"/>
      <c r="C94" s="52"/>
      <c r="D94" s="51"/>
      <c r="E94" s="51"/>
      <c r="F94" s="53" t="b">
        <v>0</v>
      </c>
      <c r="G94" s="30"/>
    </row>
    <row r="95">
      <c r="A95" s="33"/>
      <c r="B95" s="51"/>
      <c r="C95" s="52"/>
      <c r="D95" s="51"/>
      <c r="E95" s="51"/>
      <c r="F95" s="53" t="b">
        <v>0</v>
      </c>
      <c r="G95" s="30"/>
    </row>
    <row r="96">
      <c r="A96" s="33"/>
      <c r="B96" s="51"/>
      <c r="C96" s="52"/>
      <c r="D96" s="51"/>
      <c r="E96" s="51"/>
      <c r="F96" s="53" t="b">
        <v>0</v>
      </c>
      <c r="G96" s="30"/>
    </row>
    <row r="97">
      <c r="A97" s="33"/>
      <c r="B97" s="51"/>
      <c r="C97" s="52"/>
      <c r="D97" s="51"/>
      <c r="E97" s="51"/>
      <c r="F97" s="53" t="b">
        <v>0</v>
      </c>
      <c r="G97" s="30"/>
    </row>
    <row r="98">
      <c r="A98" s="33"/>
      <c r="B98" s="51"/>
      <c r="C98" s="52"/>
      <c r="D98" s="51"/>
      <c r="E98" s="51"/>
      <c r="F98" s="53" t="b">
        <v>0</v>
      </c>
      <c r="G98" s="30"/>
    </row>
    <row r="99">
      <c r="A99" s="33"/>
      <c r="B99" s="51"/>
      <c r="C99" s="52"/>
      <c r="D99" s="51"/>
      <c r="E99" s="51"/>
      <c r="F99" s="53" t="b">
        <v>0</v>
      </c>
      <c r="G99" s="30"/>
    </row>
    <row r="100">
      <c r="A100" s="33"/>
      <c r="B100" s="51"/>
      <c r="C100" s="52"/>
      <c r="D100" s="51"/>
      <c r="E100" s="51"/>
      <c r="F100" s="53" t="b">
        <v>0</v>
      </c>
      <c r="G100" s="30"/>
    </row>
    <row r="101">
      <c r="A101" s="33"/>
      <c r="B101" s="51"/>
      <c r="C101" s="52"/>
      <c r="D101" s="51"/>
      <c r="E101" s="51"/>
      <c r="F101" s="53" t="b">
        <v>0</v>
      </c>
      <c r="G101" s="30"/>
    </row>
    <row r="102">
      <c r="A102" s="33"/>
      <c r="B102" s="51"/>
      <c r="C102" s="52"/>
      <c r="D102" s="51"/>
      <c r="E102" s="51"/>
      <c r="F102" s="53" t="b">
        <v>0</v>
      </c>
      <c r="G102" s="30"/>
    </row>
    <row r="103">
      <c r="A103" s="33"/>
      <c r="B103" s="51"/>
      <c r="C103" s="52"/>
      <c r="D103" s="51"/>
      <c r="E103" s="51"/>
      <c r="F103" s="53" t="b">
        <v>0</v>
      </c>
      <c r="G103" s="30"/>
    </row>
    <row r="104">
      <c r="A104" s="33"/>
      <c r="B104" s="51"/>
      <c r="C104" s="52"/>
      <c r="D104" s="51"/>
      <c r="E104" s="51"/>
      <c r="F104" s="53" t="b">
        <v>0</v>
      </c>
      <c r="G104" s="30"/>
    </row>
    <row r="105">
      <c r="A105" s="33"/>
      <c r="B105" s="51"/>
      <c r="C105" s="52"/>
      <c r="D105" s="51"/>
      <c r="E105" s="51"/>
      <c r="F105" s="53" t="b">
        <v>0</v>
      </c>
      <c r="G105" s="30"/>
    </row>
    <row r="106">
      <c r="A106" s="33"/>
      <c r="B106" s="51"/>
      <c r="C106" s="52"/>
      <c r="D106" s="51"/>
      <c r="E106" s="51"/>
      <c r="F106" s="53" t="b">
        <v>0</v>
      </c>
      <c r="G106" s="30"/>
    </row>
    <row r="107">
      <c r="A107" s="33"/>
      <c r="B107" s="51"/>
      <c r="C107" s="52"/>
      <c r="D107" s="51"/>
      <c r="E107" s="51"/>
      <c r="F107" s="53" t="b">
        <v>0</v>
      </c>
      <c r="G107" s="30"/>
    </row>
    <row r="108">
      <c r="A108" s="33"/>
      <c r="B108" s="51"/>
      <c r="C108" s="52"/>
      <c r="D108" s="51"/>
      <c r="E108" s="51"/>
      <c r="F108" s="53" t="b">
        <v>0</v>
      </c>
      <c r="G108" s="30"/>
    </row>
    <row r="109">
      <c r="A109" s="33"/>
      <c r="B109" s="51"/>
      <c r="C109" s="52"/>
      <c r="D109" s="51"/>
      <c r="E109" s="51"/>
      <c r="F109" s="53" t="b">
        <v>0</v>
      </c>
      <c r="G109" s="30"/>
    </row>
    <row r="110">
      <c r="A110" s="33"/>
      <c r="B110" s="51"/>
      <c r="C110" s="52"/>
      <c r="D110" s="51"/>
      <c r="E110" s="51"/>
      <c r="F110" s="53" t="b">
        <v>0</v>
      </c>
      <c r="G110" s="30"/>
    </row>
    <row r="111">
      <c r="A111" s="54"/>
      <c r="B111" s="55"/>
      <c r="C111" s="55"/>
      <c r="D111" s="55"/>
      <c r="E111" s="55"/>
      <c r="F111" s="56"/>
      <c r="G111" s="57"/>
    </row>
    <row r="112">
      <c r="A112" s="54"/>
      <c r="B112" s="55"/>
      <c r="C112" s="55"/>
      <c r="D112" s="55"/>
      <c r="E112" s="55"/>
      <c r="F112" s="56"/>
      <c r="G112" s="57"/>
    </row>
    <row r="113">
      <c r="A113" s="54"/>
      <c r="B113" s="55"/>
      <c r="C113" s="55"/>
      <c r="D113" s="55"/>
      <c r="E113" s="55"/>
      <c r="F113" s="56"/>
      <c r="G113" s="57"/>
    </row>
    <row r="114">
      <c r="A114" s="54"/>
      <c r="B114" s="55"/>
      <c r="C114" s="55"/>
      <c r="D114" s="55"/>
      <c r="E114" s="55"/>
      <c r="F114" s="56"/>
      <c r="G114" s="57"/>
    </row>
    <row r="115">
      <c r="A115" s="54"/>
      <c r="B115" s="55"/>
      <c r="C115" s="55"/>
      <c r="D115" s="55"/>
      <c r="E115" s="55"/>
      <c r="F115" s="56"/>
      <c r="G115" s="57"/>
    </row>
    <row r="116">
      <c r="A116" s="54"/>
      <c r="B116" s="55"/>
      <c r="C116" s="55"/>
      <c r="D116" s="55"/>
      <c r="E116" s="55"/>
      <c r="F116" s="56"/>
      <c r="G116" s="57"/>
    </row>
    <row r="117">
      <c r="A117" s="54"/>
      <c r="B117" s="55"/>
      <c r="C117" s="55"/>
      <c r="D117" s="55"/>
      <c r="E117" s="55"/>
      <c r="F117" s="56"/>
      <c r="G117" s="57"/>
    </row>
    <row r="118">
      <c r="A118" s="54"/>
      <c r="B118" s="55"/>
      <c r="C118" s="55"/>
      <c r="D118" s="55"/>
      <c r="E118" s="55"/>
      <c r="F118" s="56"/>
      <c r="G118" s="57"/>
    </row>
    <row r="119">
      <c r="A119" s="54"/>
      <c r="B119" s="55"/>
      <c r="C119" s="55"/>
      <c r="D119" s="55"/>
      <c r="E119" s="55"/>
      <c r="F119" s="56"/>
      <c r="G119" s="57"/>
    </row>
    <row r="120">
      <c r="A120" s="54"/>
      <c r="B120" s="55"/>
      <c r="C120" s="55"/>
      <c r="D120" s="55"/>
      <c r="E120" s="55"/>
      <c r="F120" s="56"/>
      <c r="G120" s="57"/>
    </row>
    <row r="121">
      <c r="A121" s="54"/>
      <c r="B121" s="55"/>
      <c r="C121" s="55"/>
      <c r="D121" s="55"/>
      <c r="E121" s="55"/>
      <c r="F121" s="56"/>
      <c r="G121" s="57"/>
    </row>
    <row r="122">
      <c r="A122" s="54"/>
      <c r="B122" s="55"/>
      <c r="C122" s="55"/>
      <c r="D122" s="55"/>
      <c r="E122" s="55"/>
      <c r="F122" s="56"/>
      <c r="G122" s="57"/>
    </row>
    <row r="123">
      <c r="A123" s="54"/>
      <c r="B123" s="55"/>
      <c r="C123" s="55"/>
      <c r="D123" s="55"/>
      <c r="E123" s="55"/>
      <c r="F123" s="56"/>
      <c r="G123" s="57"/>
    </row>
    <row r="124">
      <c r="A124" s="54"/>
      <c r="B124" s="55"/>
      <c r="C124" s="55"/>
      <c r="D124" s="55"/>
      <c r="E124" s="55"/>
      <c r="F124" s="56"/>
      <c r="G124" s="57"/>
    </row>
    <row r="125">
      <c r="A125" s="54"/>
      <c r="B125" s="55"/>
      <c r="C125" s="55"/>
      <c r="D125" s="55"/>
      <c r="E125" s="55"/>
      <c r="F125" s="56"/>
      <c r="G125" s="57"/>
    </row>
    <row r="126">
      <c r="A126" s="54"/>
      <c r="B126" s="55"/>
      <c r="C126" s="55"/>
      <c r="D126" s="55"/>
      <c r="E126" s="55"/>
      <c r="F126" s="56"/>
      <c r="G126" s="57"/>
    </row>
    <row r="127">
      <c r="A127" s="54"/>
      <c r="B127" s="55"/>
      <c r="C127" s="55"/>
      <c r="D127" s="55"/>
      <c r="E127" s="55"/>
      <c r="F127" s="56"/>
      <c r="G127" s="57"/>
    </row>
    <row r="128">
      <c r="A128" s="54"/>
      <c r="B128" s="55"/>
      <c r="C128" s="55"/>
      <c r="D128" s="55"/>
      <c r="E128" s="55"/>
      <c r="F128" s="56"/>
      <c r="G128" s="57"/>
    </row>
    <row r="129">
      <c r="A129" s="54"/>
      <c r="B129" s="55"/>
      <c r="C129" s="55"/>
      <c r="D129" s="55"/>
      <c r="E129" s="55"/>
      <c r="F129" s="56"/>
      <c r="G129" s="57"/>
    </row>
    <row r="130">
      <c r="A130" s="54"/>
      <c r="B130" s="55"/>
      <c r="C130" s="55"/>
      <c r="D130" s="55"/>
      <c r="E130" s="55"/>
      <c r="F130" s="56"/>
      <c r="G130" s="57"/>
    </row>
    <row r="131">
      <c r="A131" s="54"/>
      <c r="B131" s="55"/>
      <c r="C131" s="55"/>
      <c r="D131" s="55"/>
      <c r="E131" s="55"/>
      <c r="F131" s="56"/>
      <c r="G131" s="57"/>
    </row>
    <row r="132">
      <c r="A132" s="54"/>
      <c r="B132" s="55"/>
      <c r="C132" s="55"/>
      <c r="D132" s="55"/>
      <c r="E132" s="55"/>
      <c r="F132" s="56"/>
      <c r="G132" s="57"/>
    </row>
    <row r="133">
      <c r="A133" s="54"/>
      <c r="B133" s="55"/>
      <c r="C133" s="55"/>
      <c r="D133" s="55"/>
      <c r="E133" s="55"/>
      <c r="F133" s="56"/>
      <c r="G133" s="57"/>
    </row>
    <row r="134">
      <c r="A134" s="54"/>
      <c r="B134" s="55"/>
      <c r="C134" s="55"/>
      <c r="D134" s="55"/>
      <c r="E134" s="55"/>
      <c r="F134" s="56"/>
      <c r="G134" s="57"/>
    </row>
    <row r="135">
      <c r="A135" s="54"/>
      <c r="B135" s="55"/>
      <c r="C135" s="55"/>
      <c r="D135" s="55"/>
      <c r="E135" s="55"/>
      <c r="F135" s="56"/>
      <c r="G135" s="57"/>
    </row>
    <row r="136">
      <c r="A136" s="54"/>
      <c r="B136" s="55"/>
      <c r="C136" s="55"/>
      <c r="D136" s="55"/>
      <c r="E136" s="55"/>
      <c r="F136" s="56"/>
      <c r="G136" s="57"/>
    </row>
    <row r="137">
      <c r="A137" s="54"/>
      <c r="B137" s="55"/>
      <c r="C137" s="55"/>
      <c r="D137" s="55"/>
      <c r="E137" s="55"/>
      <c r="F137" s="56"/>
      <c r="G137" s="57"/>
    </row>
    <row r="138">
      <c r="A138" s="54"/>
      <c r="B138" s="55"/>
      <c r="C138" s="55"/>
      <c r="D138" s="55"/>
      <c r="E138" s="55"/>
      <c r="F138" s="56"/>
      <c r="G138" s="57"/>
    </row>
    <row r="139">
      <c r="A139" s="54"/>
      <c r="B139" s="55"/>
      <c r="C139" s="55"/>
      <c r="D139" s="55"/>
      <c r="E139" s="55"/>
      <c r="F139" s="56"/>
      <c r="G139" s="57"/>
    </row>
    <row r="140">
      <c r="A140" s="54"/>
      <c r="B140" s="55"/>
      <c r="C140" s="55"/>
      <c r="D140" s="55"/>
      <c r="E140" s="55"/>
      <c r="F140" s="56"/>
      <c r="G140" s="57"/>
    </row>
    <row r="141">
      <c r="A141" s="54"/>
      <c r="B141" s="55"/>
      <c r="C141" s="55"/>
      <c r="D141" s="55"/>
      <c r="E141" s="55"/>
      <c r="F141" s="56"/>
      <c r="G141" s="57"/>
    </row>
    <row r="142">
      <c r="A142" s="54"/>
      <c r="B142" s="55"/>
      <c r="C142" s="55"/>
      <c r="D142" s="55"/>
      <c r="E142" s="55"/>
      <c r="F142" s="56"/>
      <c r="G142" s="57"/>
    </row>
    <row r="143">
      <c r="A143" s="54"/>
      <c r="B143" s="55"/>
      <c r="C143" s="55"/>
      <c r="D143" s="55"/>
      <c r="E143" s="55"/>
      <c r="F143" s="56"/>
      <c r="G143" s="57"/>
    </row>
    <row r="144">
      <c r="A144" s="54"/>
      <c r="B144" s="55"/>
      <c r="C144" s="55"/>
      <c r="D144" s="55"/>
      <c r="E144" s="55"/>
      <c r="F144" s="56"/>
      <c r="G144" s="57"/>
    </row>
    <row r="145">
      <c r="A145" s="54"/>
      <c r="B145" s="55"/>
      <c r="C145" s="55"/>
      <c r="D145" s="55"/>
      <c r="E145" s="55"/>
      <c r="F145" s="56"/>
      <c r="G145" s="57"/>
    </row>
    <row r="146">
      <c r="A146" s="54"/>
      <c r="B146" s="55"/>
      <c r="C146" s="55"/>
      <c r="D146" s="55"/>
      <c r="E146" s="55"/>
      <c r="F146" s="56"/>
      <c r="G146" s="57"/>
    </row>
    <row r="147">
      <c r="A147" s="54"/>
      <c r="B147" s="55"/>
      <c r="C147" s="55"/>
      <c r="D147" s="55"/>
      <c r="E147" s="55"/>
      <c r="F147" s="56"/>
      <c r="G147" s="57"/>
    </row>
    <row r="148">
      <c r="A148" s="54"/>
      <c r="B148" s="55"/>
      <c r="C148" s="55"/>
      <c r="D148" s="55"/>
      <c r="E148" s="55"/>
      <c r="F148" s="56"/>
      <c r="G148" s="57"/>
    </row>
    <row r="149">
      <c r="A149" s="54"/>
      <c r="B149" s="55"/>
      <c r="C149" s="55"/>
      <c r="D149" s="55"/>
      <c r="E149" s="55"/>
      <c r="F149" s="56"/>
      <c r="G149" s="57"/>
    </row>
    <row r="150">
      <c r="A150" s="54"/>
      <c r="B150" s="55"/>
      <c r="C150" s="55"/>
      <c r="D150" s="55"/>
      <c r="E150" s="55"/>
      <c r="F150" s="56"/>
      <c r="G150" s="57"/>
    </row>
    <row r="151">
      <c r="A151" s="54"/>
      <c r="B151" s="55"/>
      <c r="C151" s="55"/>
      <c r="D151" s="55"/>
      <c r="E151" s="55"/>
      <c r="F151" s="56"/>
      <c r="G151" s="57"/>
    </row>
    <row r="152">
      <c r="A152" s="54"/>
      <c r="B152" s="55"/>
      <c r="C152" s="55"/>
      <c r="D152" s="55"/>
      <c r="E152" s="55"/>
      <c r="F152" s="56"/>
      <c r="G152" s="57"/>
    </row>
    <row r="153">
      <c r="A153" s="54"/>
      <c r="B153" s="55"/>
      <c r="C153" s="55"/>
      <c r="D153" s="55"/>
      <c r="E153" s="55"/>
      <c r="F153" s="56"/>
      <c r="G153" s="57"/>
    </row>
    <row r="154">
      <c r="A154" s="54"/>
      <c r="B154" s="55"/>
      <c r="C154" s="55"/>
      <c r="D154" s="55"/>
      <c r="E154" s="55"/>
      <c r="F154" s="56"/>
      <c r="G154" s="57"/>
    </row>
    <row r="155">
      <c r="A155" s="54"/>
      <c r="B155" s="55"/>
      <c r="C155" s="55"/>
      <c r="D155" s="55"/>
      <c r="E155" s="55"/>
      <c r="F155" s="56"/>
      <c r="G155" s="57"/>
    </row>
    <row r="156">
      <c r="A156" s="54"/>
      <c r="B156" s="55"/>
      <c r="C156" s="55"/>
      <c r="D156" s="55"/>
      <c r="E156" s="55"/>
      <c r="F156" s="56"/>
      <c r="G156" s="57"/>
    </row>
    <row r="157">
      <c r="A157" s="54"/>
      <c r="B157" s="55"/>
      <c r="C157" s="55"/>
      <c r="D157" s="55"/>
      <c r="E157" s="55"/>
      <c r="F157" s="56"/>
      <c r="G157" s="57"/>
    </row>
    <row r="158">
      <c r="A158" s="54"/>
      <c r="B158" s="55"/>
      <c r="C158" s="55"/>
      <c r="D158" s="55"/>
      <c r="E158" s="55"/>
      <c r="F158" s="56"/>
      <c r="G158" s="57"/>
    </row>
    <row r="159">
      <c r="A159" s="54"/>
      <c r="B159" s="55"/>
      <c r="C159" s="55"/>
      <c r="D159" s="55"/>
      <c r="E159" s="55"/>
      <c r="F159" s="56"/>
      <c r="G159" s="57"/>
    </row>
    <row r="160">
      <c r="A160" s="54"/>
      <c r="B160" s="55"/>
      <c r="C160" s="55"/>
      <c r="D160" s="55"/>
      <c r="E160" s="55"/>
      <c r="F160" s="56"/>
      <c r="G160" s="57"/>
    </row>
    <row r="161">
      <c r="A161" s="54"/>
      <c r="B161" s="55"/>
      <c r="C161" s="55"/>
      <c r="D161" s="55"/>
      <c r="E161" s="55"/>
      <c r="F161" s="56"/>
      <c r="G161" s="57"/>
    </row>
    <row r="162">
      <c r="A162" s="54"/>
      <c r="B162" s="55"/>
      <c r="C162" s="55"/>
      <c r="D162" s="55"/>
      <c r="E162" s="55"/>
      <c r="F162" s="56"/>
      <c r="G162" s="57"/>
    </row>
    <row r="163">
      <c r="A163" s="54"/>
      <c r="B163" s="55"/>
      <c r="C163" s="55"/>
      <c r="D163" s="55"/>
      <c r="E163" s="55"/>
      <c r="F163" s="56"/>
      <c r="G163" s="57"/>
    </row>
    <row r="164">
      <c r="A164" s="54"/>
      <c r="B164" s="55"/>
      <c r="C164" s="55"/>
      <c r="D164" s="55"/>
      <c r="E164" s="55"/>
      <c r="F164" s="56"/>
      <c r="G164" s="57"/>
    </row>
    <row r="165">
      <c r="A165" s="54"/>
      <c r="B165" s="55"/>
      <c r="C165" s="55"/>
      <c r="D165" s="55"/>
      <c r="E165" s="55"/>
      <c r="F165" s="56"/>
      <c r="G165" s="57"/>
    </row>
    <row r="166">
      <c r="A166" s="54"/>
      <c r="B166" s="55"/>
      <c r="C166" s="55"/>
      <c r="D166" s="55"/>
      <c r="E166" s="55"/>
      <c r="F166" s="56"/>
      <c r="G166" s="57"/>
    </row>
    <row r="167">
      <c r="A167" s="54"/>
      <c r="B167" s="55"/>
      <c r="C167" s="55"/>
      <c r="D167" s="55"/>
      <c r="E167" s="55"/>
      <c r="F167" s="56"/>
      <c r="G167" s="57"/>
    </row>
    <row r="168">
      <c r="A168" s="54"/>
      <c r="B168" s="55"/>
      <c r="C168" s="55"/>
      <c r="D168" s="55"/>
      <c r="E168" s="55"/>
      <c r="F168" s="56"/>
      <c r="G168" s="57"/>
    </row>
    <row r="169">
      <c r="A169" s="54"/>
      <c r="B169" s="55"/>
      <c r="C169" s="55"/>
      <c r="D169" s="55"/>
      <c r="E169" s="55"/>
      <c r="F169" s="56"/>
      <c r="G169" s="57"/>
    </row>
    <row r="170">
      <c r="A170" s="54"/>
      <c r="B170" s="55"/>
      <c r="C170" s="55"/>
      <c r="D170" s="55"/>
      <c r="E170" s="55"/>
      <c r="F170" s="56"/>
      <c r="G170" s="57"/>
    </row>
    <row r="171">
      <c r="A171" s="54"/>
      <c r="B171" s="55"/>
      <c r="C171" s="55"/>
      <c r="D171" s="55"/>
      <c r="E171" s="55"/>
      <c r="F171" s="56"/>
      <c r="G171" s="57"/>
    </row>
    <row r="172">
      <c r="A172" s="54"/>
      <c r="B172" s="55"/>
      <c r="C172" s="55"/>
      <c r="D172" s="55"/>
      <c r="E172" s="55"/>
      <c r="F172" s="56"/>
      <c r="G172" s="57"/>
    </row>
    <row r="173">
      <c r="A173" s="54"/>
      <c r="B173" s="55"/>
      <c r="C173" s="55"/>
      <c r="D173" s="55"/>
      <c r="E173" s="55"/>
      <c r="F173" s="56"/>
      <c r="G173" s="57"/>
    </row>
    <row r="174">
      <c r="A174" s="54"/>
      <c r="B174" s="55"/>
      <c r="C174" s="55"/>
      <c r="D174" s="55"/>
      <c r="E174" s="55"/>
      <c r="F174" s="56"/>
      <c r="G174" s="57"/>
    </row>
    <row r="175">
      <c r="A175" s="54"/>
      <c r="B175" s="55"/>
      <c r="C175" s="55"/>
      <c r="D175" s="55"/>
      <c r="E175" s="55"/>
      <c r="F175" s="56"/>
      <c r="G175" s="57"/>
    </row>
    <row r="176">
      <c r="A176" s="54"/>
      <c r="B176" s="55"/>
      <c r="C176" s="55"/>
      <c r="D176" s="55"/>
      <c r="E176" s="55"/>
      <c r="F176" s="56"/>
      <c r="G176" s="57"/>
    </row>
    <row r="177">
      <c r="A177" s="54"/>
      <c r="B177" s="55"/>
      <c r="C177" s="55"/>
      <c r="D177" s="55"/>
      <c r="E177" s="55"/>
      <c r="F177" s="56"/>
      <c r="G177" s="57"/>
    </row>
    <row r="178">
      <c r="A178" s="54"/>
      <c r="B178" s="55"/>
      <c r="C178" s="55"/>
      <c r="D178" s="55"/>
      <c r="E178" s="55"/>
      <c r="F178" s="56"/>
      <c r="G178" s="57"/>
    </row>
    <row r="179">
      <c r="A179" s="54"/>
      <c r="B179" s="55"/>
      <c r="C179" s="55"/>
      <c r="D179" s="55"/>
      <c r="E179" s="55"/>
      <c r="F179" s="56"/>
      <c r="G179" s="57"/>
    </row>
    <row r="180">
      <c r="A180" s="54"/>
      <c r="B180" s="55"/>
      <c r="C180" s="55"/>
      <c r="D180" s="55"/>
      <c r="E180" s="55"/>
      <c r="F180" s="56"/>
      <c r="G180" s="57"/>
    </row>
    <row r="181">
      <c r="A181" s="54"/>
      <c r="B181" s="55"/>
      <c r="C181" s="55"/>
      <c r="D181" s="55"/>
      <c r="E181" s="55"/>
      <c r="F181" s="56"/>
      <c r="G181" s="57"/>
    </row>
    <row r="182">
      <c r="A182" s="54"/>
      <c r="B182" s="55"/>
      <c r="C182" s="55"/>
      <c r="D182" s="55"/>
      <c r="E182" s="55"/>
      <c r="F182" s="56"/>
      <c r="G182" s="57"/>
    </row>
    <row r="183">
      <c r="A183" s="54"/>
      <c r="B183" s="55"/>
      <c r="C183" s="55"/>
      <c r="D183" s="55"/>
      <c r="E183" s="55"/>
      <c r="F183" s="56"/>
      <c r="G183" s="57"/>
    </row>
    <row r="184">
      <c r="A184" s="54"/>
      <c r="B184" s="55"/>
      <c r="C184" s="55"/>
      <c r="D184" s="55"/>
      <c r="E184" s="55"/>
      <c r="F184" s="56"/>
      <c r="G184" s="57"/>
    </row>
    <row r="185">
      <c r="A185" s="54"/>
      <c r="B185" s="55"/>
      <c r="C185" s="55"/>
      <c r="D185" s="55"/>
      <c r="E185" s="55"/>
      <c r="F185" s="56"/>
      <c r="G185" s="57"/>
    </row>
    <row r="186">
      <c r="A186" s="54"/>
      <c r="B186" s="55"/>
      <c r="C186" s="55"/>
      <c r="D186" s="55"/>
      <c r="E186" s="55"/>
      <c r="F186" s="56"/>
      <c r="G186" s="57"/>
    </row>
    <row r="187">
      <c r="A187" s="54"/>
      <c r="B187" s="55"/>
      <c r="C187" s="55"/>
      <c r="D187" s="55"/>
      <c r="E187" s="55"/>
      <c r="F187" s="56"/>
      <c r="G187" s="57"/>
    </row>
    <row r="188">
      <c r="A188" s="54"/>
      <c r="B188" s="55"/>
      <c r="C188" s="55"/>
      <c r="D188" s="55"/>
      <c r="E188" s="55"/>
      <c r="F188" s="56"/>
      <c r="G188" s="57"/>
    </row>
    <row r="189">
      <c r="A189" s="54"/>
      <c r="B189" s="55"/>
      <c r="C189" s="55"/>
      <c r="D189" s="55"/>
      <c r="E189" s="55"/>
      <c r="F189" s="56"/>
      <c r="G189" s="57"/>
    </row>
    <row r="190">
      <c r="A190" s="54"/>
      <c r="B190" s="55"/>
      <c r="C190" s="55"/>
      <c r="D190" s="55"/>
      <c r="E190" s="55"/>
      <c r="F190" s="56"/>
      <c r="G190" s="57"/>
    </row>
    <row r="191">
      <c r="A191" s="54"/>
      <c r="B191" s="55"/>
      <c r="C191" s="55"/>
      <c r="D191" s="55"/>
      <c r="E191" s="55"/>
      <c r="F191" s="56"/>
      <c r="G191" s="57"/>
    </row>
    <row r="192">
      <c r="A192" s="54"/>
      <c r="B192" s="55"/>
      <c r="C192" s="55"/>
      <c r="D192" s="55"/>
      <c r="E192" s="55"/>
      <c r="F192" s="56"/>
      <c r="G192" s="57"/>
    </row>
    <row r="193">
      <c r="A193" s="54"/>
      <c r="B193" s="55"/>
      <c r="C193" s="55"/>
      <c r="D193" s="55"/>
      <c r="E193" s="55"/>
      <c r="F193" s="56"/>
      <c r="G193" s="57"/>
    </row>
    <row r="194">
      <c r="A194" s="54"/>
      <c r="B194" s="55"/>
      <c r="C194" s="55"/>
      <c r="D194" s="55"/>
      <c r="E194" s="55"/>
      <c r="F194" s="56"/>
      <c r="G194" s="57"/>
    </row>
    <row r="195">
      <c r="A195" s="54"/>
      <c r="B195" s="55"/>
      <c r="C195" s="55"/>
      <c r="D195" s="55"/>
      <c r="E195" s="55"/>
      <c r="F195" s="56"/>
      <c r="G195" s="57"/>
    </row>
    <row r="196">
      <c r="A196" s="54"/>
      <c r="B196" s="55"/>
      <c r="C196" s="55"/>
      <c r="D196" s="55"/>
      <c r="E196" s="55"/>
      <c r="F196" s="56"/>
      <c r="G196" s="57"/>
    </row>
    <row r="197">
      <c r="A197" s="54"/>
      <c r="B197" s="55"/>
      <c r="C197" s="55"/>
      <c r="D197" s="55"/>
      <c r="E197" s="55"/>
      <c r="F197" s="56"/>
      <c r="G197" s="57"/>
    </row>
    <row r="198">
      <c r="A198" s="54"/>
      <c r="B198" s="55"/>
      <c r="C198" s="55"/>
      <c r="D198" s="55"/>
      <c r="E198" s="55"/>
      <c r="F198" s="56"/>
      <c r="G198" s="57"/>
    </row>
    <row r="199">
      <c r="A199" s="54"/>
      <c r="B199" s="55"/>
      <c r="C199" s="55"/>
      <c r="D199" s="55"/>
      <c r="E199" s="55"/>
      <c r="F199" s="56"/>
      <c r="G199" s="57"/>
    </row>
    <row r="200">
      <c r="A200" s="54"/>
      <c r="B200" s="55"/>
      <c r="C200" s="55"/>
      <c r="D200" s="55"/>
      <c r="E200" s="55"/>
      <c r="F200" s="56"/>
      <c r="G200" s="57"/>
    </row>
    <row r="201">
      <c r="A201" s="54"/>
      <c r="B201" s="55"/>
      <c r="C201" s="55"/>
      <c r="D201" s="55"/>
      <c r="E201" s="55"/>
      <c r="F201" s="56"/>
      <c r="G201" s="57"/>
    </row>
    <row r="202">
      <c r="A202" s="54"/>
      <c r="B202" s="55"/>
      <c r="C202" s="55"/>
      <c r="D202" s="55"/>
      <c r="E202" s="55"/>
      <c r="F202" s="56"/>
      <c r="G202" s="57"/>
    </row>
    <row r="203">
      <c r="A203" s="54"/>
      <c r="B203" s="55"/>
      <c r="C203" s="55"/>
      <c r="D203" s="55"/>
      <c r="E203" s="55"/>
      <c r="F203" s="56"/>
      <c r="G203" s="57"/>
    </row>
    <row r="204">
      <c r="A204" s="54"/>
      <c r="B204" s="55"/>
      <c r="C204" s="55"/>
      <c r="D204" s="55"/>
      <c r="E204" s="55"/>
      <c r="F204" s="56"/>
      <c r="G204" s="57"/>
    </row>
    <row r="205">
      <c r="A205" s="54"/>
      <c r="B205" s="55"/>
      <c r="C205" s="55"/>
      <c r="D205" s="55"/>
      <c r="E205" s="55"/>
      <c r="F205" s="56"/>
      <c r="G205" s="57"/>
    </row>
    <row r="206">
      <c r="A206" s="54"/>
      <c r="B206" s="55"/>
      <c r="C206" s="55"/>
      <c r="D206" s="55"/>
      <c r="E206" s="55"/>
      <c r="F206" s="56"/>
      <c r="G206" s="57"/>
    </row>
    <row r="207">
      <c r="A207" s="54"/>
      <c r="B207" s="55"/>
      <c r="C207" s="55"/>
      <c r="D207" s="55"/>
      <c r="E207" s="55"/>
      <c r="F207" s="56"/>
      <c r="G207" s="57"/>
    </row>
    <row r="208">
      <c r="A208" s="54"/>
      <c r="B208" s="55"/>
      <c r="C208" s="55"/>
      <c r="D208" s="55"/>
      <c r="E208" s="55"/>
      <c r="F208" s="56"/>
      <c r="G208" s="57"/>
    </row>
    <row r="209">
      <c r="A209" s="54"/>
      <c r="B209" s="55"/>
      <c r="C209" s="55"/>
      <c r="D209" s="55"/>
      <c r="E209" s="55"/>
      <c r="F209" s="56"/>
      <c r="G209" s="57"/>
    </row>
    <row r="210">
      <c r="A210" s="54"/>
      <c r="B210" s="55"/>
      <c r="C210" s="55"/>
      <c r="D210" s="55"/>
      <c r="E210" s="55"/>
      <c r="F210" s="56"/>
      <c r="G210" s="57"/>
    </row>
    <row r="211">
      <c r="A211" s="54"/>
      <c r="B211" s="55"/>
      <c r="C211" s="55"/>
      <c r="D211" s="55"/>
      <c r="E211" s="55"/>
      <c r="F211" s="56"/>
      <c r="G211" s="57"/>
    </row>
    <row r="212">
      <c r="A212" s="54"/>
      <c r="B212" s="55"/>
      <c r="C212" s="55"/>
      <c r="D212" s="55"/>
      <c r="E212" s="55"/>
      <c r="F212" s="56"/>
      <c r="G212" s="57"/>
    </row>
    <row r="213">
      <c r="A213" s="54"/>
      <c r="B213" s="55"/>
      <c r="C213" s="55"/>
      <c r="D213" s="55"/>
      <c r="E213" s="55"/>
      <c r="F213" s="56"/>
      <c r="G213" s="57"/>
    </row>
    <row r="214">
      <c r="A214" s="54"/>
      <c r="B214" s="55"/>
      <c r="C214" s="55"/>
      <c r="D214" s="55"/>
      <c r="E214" s="55"/>
      <c r="F214" s="56"/>
      <c r="G214" s="57"/>
    </row>
    <row r="215">
      <c r="A215" s="54"/>
      <c r="B215" s="55"/>
      <c r="C215" s="55"/>
      <c r="D215" s="55"/>
      <c r="E215" s="55"/>
      <c r="F215" s="56"/>
      <c r="G215" s="57"/>
    </row>
    <row r="216">
      <c r="A216" s="54"/>
      <c r="B216" s="55"/>
      <c r="C216" s="55"/>
      <c r="D216" s="55"/>
      <c r="E216" s="55"/>
      <c r="F216" s="56"/>
      <c r="G216" s="57"/>
    </row>
    <row r="217">
      <c r="A217" s="54"/>
      <c r="B217" s="55"/>
      <c r="C217" s="55"/>
      <c r="D217" s="55"/>
      <c r="E217" s="55"/>
      <c r="F217" s="56"/>
      <c r="G217" s="57"/>
    </row>
    <row r="218">
      <c r="A218" s="54"/>
      <c r="B218" s="55"/>
      <c r="C218" s="55"/>
      <c r="D218" s="55"/>
      <c r="E218" s="55"/>
      <c r="F218" s="56"/>
      <c r="G218" s="57"/>
    </row>
    <row r="219">
      <c r="A219" s="54"/>
      <c r="B219" s="55"/>
      <c r="C219" s="55"/>
      <c r="D219" s="55"/>
      <c r="E219" s="55"/>
      <c r="F219" s="56"/>
      <c r="G219" s="57"/>
    </row>
    <row r="220">
      <c r="A220" s="54"/>
      <c r="B220" s="55"/>
      <c r="C220" s="55"/>
      <c r="D220" s="55"/>
      <c r="E220" s="55"/>
      <c r="F220" s="56"/>
      <c r="G220" s="57"/>
    </row>
    <row r="221">
      <c r="A221" s="54"/>
      <c r="B221" s="55"/>
      <c r="C221" s="55"/>
      <c r="D221" s="55"/>
      <c r="E221" s="55"/>
      <c r="F221" s="56"/>
      <c r="G221" s="57"/>
    </row>
    <row r="222">
      <c r="A222" s="54"/>
      <c r="B222" s="55"/>
      <c r="C222" s="55"/>
      <c r="D222" s="55"/>
      <c r="E222" s="55"/>
      <c r="F222" s="56"/>
      <c r="G222" s="57"/>
    </row>
    <row r="223">
      <c r="A223" s="54"/>
      <c r="B223" s="55"/>
      <c r="C223" s="55"/>
      <c r="D223" s="55"/>
      <c r="E223" s="55"/>
      <c r="F223" s="56"/>
      <c r="G223" s="57"/>
    </row>
    <row r="224">
      <c r="A224" s="54"/>
      <c r="B224" s="55"/>
      <c r="C224" s="55"/>
      <c r="D224" s="55"/>
      <c r="E224" s="55"/>
      <c r="F224" s="56"/>
      <c r="G224" s="57"/>
    </row>
    <row r="225">
      <c r="A225" s="54"/>
      <c r="B225" s="55"/>
      <c r="C225" s="55"/>
      <c r="D225" s="55"/>
      <c r="E225" s="55"/>
      <c r="F225" s="56"/>
      <c r="G225" s="57"/>
    </row>
    <row r="226">
      <c r="A226" s="54"/>
      <c r="B226" s="55"/>
      <c r="C226" s="55"/>
      <c r="D226" s="55"/>
      <c r="E226" s="55"/>
      <c r="F226" s="56"/>
      <c r="G226" s="57"/>
    </row>
    <row r="227">
      <c r="A227" s="54"/>
      <c r="B227" s="55"/>
      <c r="C227" s="55"/>
      <c r="D227" s="55"/>
      <c r="E227" s="55"/>
      <c r="F227" s="56"/>
      <c r="G227" s="57"/>
    </row>
    <row r="228">
      <c r="A228" s="54"/>
      <c r="B228" s="55"/>
      <c r="C228" s="55"/>
      <c r="D228" s="55"/>
      <c r="E228" s="55"/>
      <c r="F228" s="56"/>
      <c r="G228" s="57"/>
    </row>
    <row r="229">
      <c r="A229" s="54"/>
      <c r="B229" s="55"/>
      <c r="C229" s="55"/>
      <c r="D229" s="55"/>
      <c r="E229" s="55"/>
      <c r="F229" s="56"/>
      <c r="G229" s="57"/>
    </row>
    <row r="230">
      <c r="A230" s="54"/>
      <c r="B230" s="55"/>
      <c r="C230" s="55"/>
      <c r="D230" s="55"/>
      <c r="E230" s="55"/>
      <c r="F230" s="56"/>
      <c r="G230" s="57"/>
    </row>
    <row r="231">
      <c r="A231" s="54"/>
      <c r="B231" s="55"/>
      <c r="C231" s="55"/>
      <c r="D231" s="55"/>
      <c r="E231" s="55"/>
      <c r="F231" s="56"/>
      <c r="G231" s="57"/>
    </row>
    <row r="232">
      <c r="A232" s="54"/>
      <c r="B232" s="55"/>
      <c r="C232" s="55"/>
      <c r="D232" s="55"/>
      <c r="E232" s="55"/>
      <c r="F232" s="56"/>
      <c r="G232" s="57"/>
    </row>
    <row r="233">
      <c r="A233" s="54"/>
      <c r="B233" s="55"/>
      <c r="C233" s="55"/>
      <c r="D233" s="55"/>
      <c r="E233" s="55"/>
      <c r="F233" s="56"/>
      <c r="G233" s="57"/>
    </row>
    <row r="234">
      <c r="A234" s="54"/>
      <c r="B234" s="55"/>
      <c r="C234" s="55"/>
      <c r="D234" s="55"/>
      <c r="E234" s="55"/>
      <c r="F234" s="56"/>
      <c r="G234" s="57"/>
    </row>
    <row r="235">
      <c r="A235" s="54"/>
      <c r="B235" s="55"/>
      <c r="C235" s="55"/>
      <c r="D235" s="55"/>
      <c r="E235" s="55"/>
      <c r="F235" s="56"/>
      <c r="G235" s="57"/>
    </row>
    <row r="236">
      <c r="A236" s="54"/>
      <c r="B236" s="55"/>
      <c r="C236" s="55"/>
      <c r="D236" s="55"/>
      <c r="E236" s="55"/>
      <c r="F236" s="56"/>
      <c r="G236" s="57"/>
    </row>
    <row r="237">
      <c r="A237" s="54"/>
      <c r="B237" s="55"/>
      <c r="C237" s="55"/>
      <c r="D237" s="55"/>
      <c r="E237" s="55"/>
      <c r="F237" s="56"/>
      <c r="G237" s="57"/>
    </row>
    <row r="238">
      <c r="A238" s="54"/>
      <c r="B238" s="55"/>
      <c r="C238" s="55"/>
      <c r="D238" s="55"/>
      <c r="E238" s="55"/>
      <c r="F238" s="56"/>
      <c r="G238" s="57"/>
    </row>
    <row r="239">
      <c r="A239" s="54"/>
      <c r="B239" s="55"/>
      <c r="C239" s="55"/>
      <c r="D239" s="55"/>
      <c r="E239" s="55"/>
      <c r="F239" s="56"/>
      <c r="G239" s="57"/>
    </row>
    <row r="240">
      <c r="A240" s="54"/>
      <c r="B240" s="55"/>
      <c r="C240" s="55"/>
      <c r="D240" s="55"/>
      <c r="E240" s="55"/>
      <c r="F240" s="56"/>
      <c r="G240" s="57"/>
    </row>
    <row r="241">
      <c r="A241" s="54"/>
      <c r="B241" s="55"/>
      <c r="C241" s="55"/>
      <c r="D241" s="55"/>
      <c r="E241" s="55"/>
      <c r="F241" s="56"/>
      <c r="G241" s="57"/>
    </row>
    <row r="242">
      <c r="A242" s="54"/>
      <c r="B242" s="55"/>
      <c r="C242" s="55"/>
      <c r="D242" s="55"/>
      <c r="E242" s="55"/>
      <c r="F242" s="56"/>
      <c r="G242" s="57"/>
    </row>
    <row r="243">
      <c r="A243" s="54"/>
      <c r="B243" s="55"/>
      <c r="C243" s="55"/>
      <c r="D243" s="55"/>
      <c r="E243" s="55"/>
      <c r="F243" s="56"/>
      <c r="G243" s="57"/>
    </row>
    <row r="244">
      <c r="A244" s="54"/>
      <c r="B244" s="55"/>
      <c r="C244" s="55"/>
      <c r="D244" s="55"/>
      <c r="E244" s="55"/>
      <c r="F244" s="56"/>
      <c r="G244" s="57"/>
    </row>
    <row r="245">
      <c r="A245" s="54"/>
      <c r="B245" s="55"/>
      <c r="C245" s="55"/>
      <c r="D245" s="55"/>
      <c r="E245" s="55"/>
      <c r="F245" s="56"/>
      <c r="G245" s="57"/>
    </row>
    <row r="246">
      <c r="A246" s="54"/>
      <c r="B246" s="55"/>
      <c r="C246" s="55"/>
      <c r="D246" s="55"/>
      <c r="E246" s="55"/>
      <c r="F246" s="56"/>
      <c r="G246" s="57"/>
    </row>
    <row r="247">
      <c r="A247" s="54"/>
      <c r="B247" s="55"/>
      <c r="C247" s="55"/>
      <c r="D247" s="55"/>
      <c r="E247" s="55"/>
      <c r="F247" s="56"/>
      <c r="G247" s="57"/>
    </row>
    <row r="248">
      <c r="A248" s="54"/>
      <c r="B248" s="55"/>
      <c r="C248" s="55"/>
      <c r="D248" s="55"/>
      <c r="E248" s="55"/>
      <c r="F248" s="56"/>
      <c r="G248" s="57"/>
    </row>
    <row r="249">
      <c r="A249" s="54"/>
      <c r="B249" s="55"/>
      <c r="C249" s="55"/>
      <c r="D249" s="55"/>
      <c r="E249" s="55"/>
      <c r="F249" s="56"/>
      <c r="G249" s="57"/>
    </row>
    <row r="250">
      <c r="A250" s="54"/>
      <c r="B250" s="55"/>
      <c r="C250" s="55"/>
      <c r="D250" s="55"/>
      <c r="E250" s="55"/>
      <c r="F250" s="56"/>
      <c r="G250" s="57"/>
    </row>
    <row r="251">
      <c r="A251" s="54"/>
      <c r="B251" s="55"/>
      <c r="C251" s="55"/>
      <c r="D251" s="55"/>
      <c r="E251" s="55"/>
      <c r="F251" s="56"/>
      <c r="G251" s="57"/>
    </row>
    <row r="252">
      <c r="A252" s="54"/>
      <c r="B252" s="55"/>
      <c r="C252" s="55"/>
      <c r="D252" s="55"/>
      <c r="E252" s="55"/>
      <c r="F252" s="56"/>
      <c r="G252" s="57"/>
    </row>
    <row r="253">
      <c r="A253" s="54"/>
      <c r="B253" s="55"/>
      <c r="C253" s="55"/>
      <c r="D253" s="55"/>
      <c r="E253" s="55"/>
      <c r="F253" s="56"/>
      <c r="G253" s="57"/>
    </row>
    <row r="254">
      <c r="A254" s="54"/>
      <c r="B254" s="55"/>
      <c r="C254" s="55"/>
      <c r="D254" s="55"/>
      <c r="E254" s="55"/>
      <c r="F254" s="56"/>
      <c r="G254" s="57"/>
    </row>
    <row r="255">
      <c r="A255" s="54"/>
      <c r="B255" s="55"/>
      <c r="C255" s="55"/>
      <c r="D255" s="55"/>
      <c r="E255" s="55"/>
      <c r="F255" s="56"/>
      <c r="G255" s="57"/>
    </row>
    <row r="256">
      <c r="A256" s="54"/>
      <c r="B256" s="55"/>
      <c r="C256" s="55"/>
      <c r="D256" s="55"/>
      <c r="E256" s="55"/>
      <c r="F256" s="56"/>
      <c r="G256" s="57"/>
    </row>
    <row r="257">
      <c r="A257" s="54"/>
      <c r="B257" s="55"/>
      <c r="C257" s="55"/>
      <c r="D257" s="55"/>
      <c r="E257" s="55"/>
      <c r="F257" s="56"/>
      <c r="G257" s="57"/>
    </row>
    <row r="258">
      <c r="A258" s="54"/>
      <c r="B258" s="55"/>
      <c r="C258" s="55"/>
      <c r="D258" s="55"/>
      <c r="E258" s="55"/>
      <c r="F258" s="56"/>
      <c r="G258" s="57"/>
    </row>
    <row r="259">
      <c r="A259" s="54"/>
      <c r="B259" s="55"/>
      <c r="C259" s="55"/>
      <c r="D259" s="55"/>
      <c r="E259" s="55"/>
      <c r="F259" s="56"/>
      <c r="G259" s="57"/>
    </row>
    <row r="260">
      <c r="A260" s="54"/>
      <c r="B260" s="55"/>
      <c r="C260" s="55"/>
      <c r="D260" s="55"/>
      <c r="E260" s="55"/>
      <c r="F260" s="56"/>
      <c r="G260" s="57"/>
    </row>
    <row r="261">
      <c r="A261" s="54"/>
      <c r="B261" s="55"/>
      <c r="C261" s="55"/>
      <c r="D261" s="55"/>
      <c r="E261" s="55"/>
      <c r="F261" s="56"/>
      <c r="G261" s="57"/>
    </row>
    <row r="262">
      <c r="A262" s="54"/>
      <c r="B262" s="55"/>
      <c r="C262" s="55"/>
      <c r="D262" s="55"/>
      <c r="E262" s="55"/>
      <c r="F262" s="56"/>
      <c r="G262" s="57"/>
    </row>
    <row r="263">
      <c r="A263" s="54"/>
      <c r="B263" s="55"/>
      <c r="C263" s="55"/>
      <c r="D263" s="55"/>
      <c r="E263" s="55"/>
      <c r="F263" s="56"/>
      <c r="G263" s="57"/>
    </row>
    <row r="264">
      <c r="A264" s="54"/>
      <c r="B264" s="55"/>
      <c r="C264" s="55"/>
      <c r="D264" s="55"/>
      <c r="E264" s="55"/>
      <c r="F264" s="56"/>
      <c r="G264" s="57"/>
    </row>
    <row r="265">
      <c r="A265" s="54"/>
      <c r="B265" s="55"/>
      <c r="C265" s="55"/>
      <c r="D265" s="55"/>
      <c r="E265" s="55"/>
      <c r="F265" s="56"/>
      <c r="G265" s="57"/>
    </row>
    <row r="266">
      <c r="A266" s="54"/>
      <c r="B266" s="55"/>
      <c r="C266" s="55"/>
      <c r="D266" s="55"/>
      <c r="E266" s="55"/>
      <c r="F266" s="56"/>
      <c r="G266" s="57"/>
    </row>
    <row r="267">
      <c r="A267" s="54"/>
      <c r="B267" s="55"/>
      <c r="C267" s="55"/>
      <c r="D267" s="55"/>
      <c r="E267" s="55"/>
      <c r="F267" s="56"/>
      <c r="G267" s="57"/>
    </row>
    <row r="268">
      <c r="A268" s="54"/>
      <c r="B268" s="55"/>
      <c r="C268" s="55"/>
      <c r="D268" s="55"/>
      <c r="E268" s="55"/>
      <c r="F268" s="56"/>
      <c r="G268" s="57"/>
    </row>
    <row r="269">
      <c r="A269" s="54"/>
      <c r="B269" s="55"/>
      <c r="C269" s="55"/>
      <c r="D269" s="55"/>
      <c r="E269" s="55"/>
      <c r="F269" s="56"/>
      <c r="G269" s="57"/>
    </row>
    <row r="270">
      <c r="A270" s="54"/>
      <c r="B270" s="55"/>
      <c r="C270" s="55"/>
      <c r="D270" s="55"/>
      <c r="E270" s="55"/>
      <c r="F270" s="56"/>
      <c r="G270" s="57"/>
    </row>
    <row r="271">
      <c r="A271" s="54"/>
      <c r="B271" s="55"/>
      <c r="C271" s="55"/>
      <c r="D271" s="55"/>
      <c r="E271" s="55"/>
      <c r="F271" s="56"/>
      <c r="G271" s="57"/>
    </row>
    <row r="272">
      <c r="A272" s="54"/>
      <c r="B272" s="55"/>
      <c r="C272" s="55"/>
      <c r="D272" s="55"/>
      <c r="E272" s="55"/>
      <c r="F272" s="56"/>
      <c r="G272" s="57"/>
    </row>
    <row r="273">
      <c r="A273" s="54"/>
      <c r="B273" s="55"/>
      <c r="C273" s="55"/>
      <c r="D273" s="55"/>
      <c r="E273" s="55"/>
      <c r="F273" s="56"/>
      <c r="G273" s="57"/>
    </row>
    <row r="274">
      <c r="A274" s="54"/>
      <c r="B274" s="55"/>
      <c r="C274" s="55"/>
      <c r="D274" s="55"/>
      <c r="E274" s="55"/>
      <c r="F274" s="56"/>
      <c r="G274" s="57"/>
    </row>
    <row r="275">
      <c r="A275" s="54"/>
      <c r="B275" s="55"/>
      <c r="C275" s="55"/>
      <c r="D275" s="55"/>
      <c r="E275" s="55"/>
      <c r="F275" s="56"/>
      <c r="G275" s="57"/>
    </row>
    <row r="276">
      <c r="A276" s="54"/>
      <c r="B276" s="55"/>
      <c r="C276" s="55"/>
      <c r="D276" s="55"/>
      <c r="E276" s="55"/>
      <c r="F276" s="56"/>
      <c r="G276" s="57"/>
    </row>
    <row r="277">
      <c r="A277" s="54"/>
      <c r="B277" s="55"/>
      <c r="C277" s="55"/>
      <c r="D277" s="55"/>
      <c r="E277" s="55"/>
      <c r="F277" s="56"/>
      <c r="G277" s="57"/>
    </row>
    <row r="278">
      <c r="A278" s="54"/>
      <c r="B278" s="55"/>
      <c r="C278" s="55"/>
      <c r="D278" s="55"/>
      <c r="E278" s="55"/>
      <c r="F278" s="56"/>
      <c r="G278" s="57"/>
    </row>
    <row r="279">
      <c r="A279" s="54"/>
      <c r="B279" s="55"/>
      <c r="C279" s="55"/>
      <c r="D279" s="55"/>
      <c r="E279" s="55"/>
      <c r="F279" s="56"/>
      <c r="G279" s="57"/>
    </row>
    <row r="280">
      <c r="A280" s="54"/>
      <c r="B280" s="55"/>
      <c r="C280" s="55"/>
      <c r="D280" s="55"/>
      <c r="E280" s="55"/>
      <c r="F280" s="56"/>
      <c r="G280" s="57"/>
    </row>
    <row r="281">
      <c r="A281" s="54"/>
      <c r="B281" s="55"/>
      <c r="C281" s="55"/>
      <c r="D281" s="55"/>
      <c r="E281" s="55"/>
      <c r="F281" s="56"/>
      <c r="G281" s="57"/>
    </row>
    <row r="282">
      <c r="A282" s="54"/>
      <c r="B282" s="55"/>
      <c r="C282" s="55"/>
      <c r="D282" s="55"/>
      <c r="E282" s="55"/>
      <c r="F282" s="56"/>
      <c r="G282" s="57"/>
    </row>
    <row r="283">
      <c r="A283" s="54"/>
      <c r="B283" s="55"/>
      <c r="C283" s="55"/>
      <c r="D283" s="55"/>
      <c r="E283" s="55"/>
      <c r="F283" s="56"/>
      <c r="G283" s="57"/>
    </row>
    <row r="284">
      <c r="A284" s="54"/>
      <c r="B284" s="55"/>
      <c r="C284" s="55"/>
      <c r="D284" s="55"/>
      <c r="E284" s="55"/>
      <c r="F284" s="56"/>
      <c r="G284" s="57"/>
    </row>
    <row r="285">
      <c r="A285" s="54"/>
      <c r="B285" s="55"/>
      <c r="C285" s="55"/>
      <c r="D285" s="55"/>
      <c r="E285" s="55"/>
      <c r="F285" s="56"/>
      <c r="G285" s="57"/>
    </row>
    <row r="286">
      <c r="A286" s="54"/>
      <c r="B286" s="55"/>
      <c r="C286" s="55"/>
      <c r="D286" s="55"/>
      <c r="E286" s="55"/>
      <c r="F286" s="56"/>
      <c r="G286" s="57"/>
    </row>
    <row r="287">
      <c r="A287" s="54"/>
      <c r="B287" s="55"/>
      <c r="C287" s="55"/>
      <c r="D287" s="55"/>
      <c r="E287" s="55"/>
      <c r="F287" s="56"/>
      <c r="G287" s="57"/>
    </row>
    <row r="288">
      <c r="A288" s="54"/>
      <c r="B288" s="55"/>
      <c r="C288" s="55"/>
      <c r="D288" s="55"/>
      <c r="E288" s="55"/>
      <c r="F288" s="56"/>
      <c r="G288" s="57"/>
    </row>
    <row r="289">
      <c r="A289" s="54"/>
      <c r="B289" s="55"/>
      <c r="C289" s="55"/>
      <c r="D289" s="55"/>
      <c r="E289" s="55"/>
      <c r="F289" s="56"/>
      <c r="G289" s="57"/>
    </row>
    <row r="290">
      <c r="A290" s="54"/>
      <c r="B290" s="55"/>
      <c r="C290" s="55"/>
      <c r="D290" s="55"/>
      <c r="E290" s="55"/>
      <c r="F290" s="56"/>
      <c r="G290" s="57"/>
    </row>
    <row r="291">
      <c r="A291" s="54"/>
      <c r="B291" s="55"/>
      <c r="C291" s="55"/>
      <c r="D291" s="55"/>
      <c r="E291" s="55"/>
      <c r="F291" s="56"/>
      <c r="G291" s="57"/>
    </row>
    <row r="292">
      <c r="A292" s="54"/>
      <c r="B292" s="55"/>
      <c r="C292" s="55"/>
      <c r="D292" s="55"/>
      <c r="E292" s="55"/>
      <c r="F292" s="56"/>
      <c r="G292" s="57"/>
    </row>
    <row r="293">
      <c r="A293" s="54"/>
      <c r="B293" s="55"/>
      <c r="C293" s="55"/>
      <c r="D293" s="55"/>
      <c r="E293" s="55"/>
      <c r="F293" s="56"/>
      <c r="G293" s="57"/>
    </row>
    <row r="294">
      <c r="A294" s="54"/>
      <c r="B294" s="55"/>
      <c r="C294" s="55"/>
      <c r="D294" s="55"/>
      <c r="E294" s="55"/>
      <c r="F294" s="56"/>
      <c r="G294" s="57"/>
    </row>
    <row r="295">
      <c r="A295" s="54"/>
      <c r="B295" s="55"/>
      <c r="C295" s="55"/>
      <c r="D295" s="55"/>
      <c r="E295" s="55"/>
      <c r="F295" s="56"/>
      <c r="G295" s="57"/>
    </row>
    <row r="296">
      <c r="A296" s="54"/>
      <c r="B296" s="55"/>
      <c r="C296" s="55"/>
      <c r="D296" s="55"/>
      <c r="E296" s="55"/>
      <c r="F296" s="56"/>
      <c r="G296" s="57"/>
    </row>
    <row r="297">
      <c r="A297" s="54"/>
      <c r="B297" s="55"/>
      <c r="C297" s="55"/>
      <c r="D297" s="55"/>
      <c r="E297" s="55"/>
      <c r="F297" s="56"/>
      <c r="G297" s="57"/>
    </row>
    <row r="298">
      <c r="A298" s="54"/>
      <c r="B298" s="55"/>
      <c r="C298" s="55"/>
      <c r="D298" s="55"/>
      <c r="E298" s="55"/>
      <c r="F298" s="56"/>
      <c r="G298" s="57"/>
    </row>
    <row r="299">
      <c r="A299" s="54"/>
      <c r="B299" s="55"/>
      <c r="C299" s="55"/>
      <c r="D299" s="55"/>
      <c r="E299" s="55"/>
      <c r="F299" s="56"/>
      <c r="G299" s="57"/>
    </row>
    <row r="300">
      <c r="A300" s="54"/>
      <c r="B300" s="55"/>
      <c r="C300" s="55"/>
      <c r="D300" s="55"/>
      <c r="E300" s="55"/>
      <c r="F300" s="56"/>
      <c r="G300" s="57"/>
    </row>
    <row r="301">
      <c r="A301" s="54"/>
      <c r="B301" s="55"/>
      <c r="C301" s="55"/>
      <c r="D301" s="55"/>
      <c r="E301" s="55"/>
      <c r="F301" s="56"/>
      <c r="G301" s="57"/>
    </row>
    <row r="302">
      <c r="A302" s="54"/>
      <c r="B302" s="55"/>
      <c r="C302" s="55"/>
      <c r="D302" s="55"/>
      <c r="E302" s="55"/>
      <c r="F302" s="56"/>
      <c r="G302" s="57"/>
    </row>
    <row r="303">
      <c r="A303" s="54"/>
      <c r="B303" s="55"/>
      <c r="C303" s="55"/>
      <c r="D303" s="55"/>
      <c r="E303" s="55"/>
      <c r="F303" s="56"/>
      <c r="G303" s="57"/>
    </row>
    <row r="304">
      <c r="A304" s="54"/>
      <c r="B304" s="55"/>
      <c r="C304" s="55"/>
      <c r="D304" s="55"/>
      <c r="E304" s="55"/>
      <c r="F304" s="56"/>
      <c r="G304" s="57"/>
    </row>
    <row r="305">
      <c r="A305" s="54"/>
      <c r="B305" s="55"/>
      <c r="C305" s="55"/>
      <c r="D305" s="55"/>
      <c r="E305" s="55"/>
      <c r="F305" s="56"/>
      <c r="G305" s="57"/>
    </row>
    <row r="306">
      <c r="A306" s="54"/>
      <c r="B306" s="55"/>
      <c r="C306" s="55"/>
      <c r="D306" s="55"/>
      <c r="E306" s="55"/>
      <c r="F306" s="56"/>
      <c r="G306" s="57"/>
    </row>
    <row r="307">
      <c r="A307" s="54"/>
      <c r="B307" s="55"/>
      <c r="C307" s="55"/>
      <c r="D307" s="55"/>
      <c r="E307" s="55"/>
      <c r="F307" s="56"/>
      <c r="G307" s="57"/>
    </row>
    <row r="308">
      <c r="A308" s="54"/>
      <c r="B308" s="55"/>
      <c r="C308" s="55"/>
      <c r="D308" s="55"/>
      <c r="E308" s="55"/>
      <c r="F308" s="56"/>
      <c r="G308" s="57"/>
    </row>
    <row r="309">
      <c r="A309" s="54"/>
      <c r="B309" s="55"/>
      <c r="C309" s="55"/>
      <c r="D309" s="55"/>
      <c r="E309" s="55"/>
      <c r="F309" s="56"/>
      <c r="G309" s="57"/>
    </row>
    <row r="310">
      <c r="A310" s="54"/>
      <c r="B310" s="55"/>
      <c r="C310" s="55"/>
      <c r="D310" s="55"/>
      <c r="E310" s="55"/>
      <c r="F310" s="56"/>
      <c r="G310" s="57"/>
    </row>
    <row r="311">
      <c r="A311" s="54"/>
      <c r="B311" s="55"/>
      <c r="C311" s="55"/>
      <c r="D311" s="55"/>
      <c r="E311" s="55"/>
      <c r="F311" s="56"/>
      <c r="G311" s="57"/>
    </row>
    <row r="312">
      <c r="A312" s="54"/>
      <c r="B312" s="55"/>
      <c r="C312" s="55"/>
      <c r="D312" s="55"/>
      <c r="E312" s="55"/>
      <c r="F312" s="56"/>
      <c r="G312" s="57"/>
    </row>
    <row r="313">
      <c r="A313" s="54"/>
      <c r="B313" s="55"/>
      <c r="C313" s="55"/>
      <c r="D313" s="55"/>
      <c r="E313" s="55"/>
      <c r="F313" s="56"/>
      <c r="G313" s="57"/>
    </row>
    <row r="314">
      <c r="A314" s="54"/>
      <c r="B314" s="55"/>
      <c r="C314" s="55"/>
      <c r="D314" s="55"/>
      <c r="E314" s="55"/>
      <c r="F314" s="56"/>
      <c r="G314" s="57"/>
    </row>
    <row r="315">
      <c r="A315" s="54"/>
      <c r="B315" s="55"/>
      <c r="C315" s="55"/>
      <c r="D315" s="55"/>
      <c r="E315" s="55"/>
      <c r="F315" s="56"/>
      <c r="G315" s="57"/>
    </row>
    <row r="316">
      <c r="A316" s="54"/>
      <c r="B316" s="55"/>
      <c r="C316" s="55"/>
      <c r="D316" s="55"/>
      <c r="E316" s="55"/>
      <c r="F316" s="56"/>
      <c r="G316" s="57"/>
    </row>
    <row r="317">
      <c r="A317" s="54"/>
      <c r="B317" s="55"/>
      <c r="C317" s="55"/>
      <c r="D317" s="55"/>
      <c r="E317" s="55"/>
      <c r="F317" s="56"/>
      <c r="G317" s="57"/>
    </row>
    <row r="318">
      <c r="A318" s="54"/>
      <c r="B318" s="55"/>
      <c r="C318" s="55"/>
      <c r="D318" s="55"/>
      <c r="E318" s="55"/>
      <c r="F318" s="56"/>
      <c r="G318" s="57"/>
    </row>
    <row r="319">
      <c r="A319" s="54"/>
      <c r="B319" s="55"/>
      <c r="C319" s="55"/>
      <c r="D319" s="55"/>
      <c r="E319" s="55"/>
      <c r="F319" s="56"/>
      <c r="G319" s="57"/>
    </row>
    <row r="320">
      <c r="A320" s="54"/>
      <c r="B320" s="55"/>
      <c r="C320" s="55"/>
      <c r="D320" s="55"/>
      <c r="E320" s="55"/>
      <c r="F320" s="56"/>
      <c r="G320" s="57"/>
    </row>
    <row r="321">
      <c r="A321" s="54"/>
      <c r="B321" s="55"/>
      <c r="C321" s="55"/>
      <c r="D321" s="55"/>
      <c r="E321" s="55"/>
      <c r="F321" s="56"/>
      <c r="G321" s="57"/>
    </row>
    <row r="322">
      <c r="A322" s="54"/>
      <c r="B322" s="55"/>
      <c r="C322" s="55"/>
      <c r="D322" s="55"/>
      <c r="E322" s="55"/>
      <c r="F322" s="56"/>
      <c r="G322" s="57"/>
    </row>
    <row r="323">
      <c r="A323" s="54"/>
      <c r="B323" s="55"/>
      <c r="C323" s="55"/>
      <c r="D323" s="55"/>
      <c r="E323" s="55"/>
      <c r="F323" s="56"/>
      <c r="G323" s="57"/>
    </row>
    <row r="324">
      <c r="A324" s="54"/>
      <c r="B324" s="55"/>
      <c r="C324" s="55"/>
      <c r="D324" s="55"/>
      <c r="E324" s="55"/>
      <c r="F324" s="56"/>
      <c r="G324" s="57"/>
    </row>
    <row r="325">
      <c r="A325" s="54"/>
      <c r="B325" s="55"/>
      <c r="C325" s="55"/>
      <c r="D325" s="55"/>
      <c r="E325" s="55"/>
      <c r="F325" s="56"/>
      <c r="G325" s="57"/>
    </row>
    <row r="326">
      <c r="A326" s="54"/>
      <c r="B326" s="55"/>
      <c r="C326" s="55"/>
      <c r="D326" s="55"/>
      <c r="E326" s="55"/>
      <c r="F326" s="56"/>
      <c r="G326" s="57"/>
    </row>
    <row r="327">
      <c r="A327" s="54"/>
      <c r="B327" s="55"/>
      <c r="C327" s="55"/>
      <c r="D327" s="55"/>
      <c r="E327" s="55"/>
      <c r="F327" s="56"/>
      <c r="G327" s="57"/>
    </row>
    <row r="328">
      <c r="A328" s="54"/>
      <c r="B328" s="55"/>
      <c r="C328" s="55"/>
      <c r="D328" s="55"/>
      <c r="E328" s="55"/>
      <c r="F328" s="56"/>
      <c r="G328" s="57"/>
    </row>
    <row r="329">
      <c r="A329" s="54"/>
      <c r="B329" s="55"/>
      <c r="C329" s="55"/>
      <c r="D329" s="55"/>
      <c r="E329" s="55"/>
      <c r="F329" s="56"/>
      <c r="G329" s="57"/>
    </row>
    <row r="330">
      <c r="A330" s="54"/>
      <c r="B330" s="55"/>
      <c r="C330" s="55"/>
      <c r="D330" s="55"/>
      <c r="E330" s="55"/>
      <c r="F330" s="56"/>
      <c r="G330" s="57"/>
    </row>
    <row r="331">
      <c r="A331" s="54"/>
      <c r="B331" s="55"/>
      <c r="C331" s="55"/>
      <c r="D331" s="55"/>
      <c r="E331" s="55"/>
      <c r="F331" s="56"/>
      <c r="G331" s="57"/>
    </row>
    <row r="332">
      <c r="A332" s="54"/>
      <c r="B332" s="55"/>
      <c r="C332" s="55"/>
      <c r="D332" s="55"/>
      <c r="E332" s="55"/>
      <c r="F332" s="56"/>
      <c r="G332" s="57"/>
    </row>
    <row r="333">
      <c r="A333" s="54"/>
      <c r="B333" s="55"/>
      <c r="C333" s="55"/>
      <c r="D333" s="55"/>
      <c r="E333" s="55"/>
      <c r="F333" s="56"/>
      <c r="G333" s="57"/>
    </row>
    <row r="334">
      <c r="A334" s="54"/>
      <c r="B334" s="55"/>
      <c r="C334" s="55"/>
      <c r="D334" s="55"/>
      <c r="E334" s="55"/>
      <c r="F334" s="56"/>
      <c r="G334" s="57"/>
    </row>
    <row r="335">
      <c r="A335" s="54"/>
      <c r="B335" s="55"/>
      <c r="C335" s="55"/>
      <c r="D335" s="55"/>
      <c r="E335" s="55"/>
      <c r="F335" s="56"/>
      <c r="G335" s="57"/>
    </row>
    <row r="336">
      <c r="A336" s="54"/>
      <c r="B336" s="55"/>
      <c r="C336" s="55"/>
      <c r="D336" s="55"/>
      <c r="E336" s="55"/>
      <c r="F336" s="56"/>
      <c r="G336" s="57"/>
    </row>
    <row r="337">
      <c r="A337" s="54"/>
      <c r="B337" s="55"/>
      <c r="C337" s="55"/>
      <c r="D337" s="55"/>
      <c r="E337" s="55"/>
      <c r="F337" s="56"/>
      <c r="G337" s="57"/>
    </row>
    <row r="338">
      <c r="A338" s="54"/>
      <c r="B338" s="55"/>
      <c r="C338" s="55"/>
      <c r="D338" s="55"/>
      <c r="E338" s="55"/>
      <c r="F338" s="56"/>
      <c r="G338" s="57"/>
    </row>
    <row r="339">
      <c r="A339" s="54"/>
      <c r="B339" s="55"/>
      <c r="C339" s="55"/>
      <c r="D339" s="55"/>
      <c r="E339" s="55"/>
      <c r="F339" s="56"/>
      <c r="G339" s="57"/>
    </row>
    <row r="340">
      <c r="A340" s="54"/>
      <c r="B340" s="55"/>
      <c r="C340" s="55"/>
      <c r="D340" s="55"/>
      <c r="E340" s="55"/>
      <c r="F340" s="56"/>
      <c r="G340" s="57"/>
    </row>
    <row r="341">
      <c r="A341" s="54"/>
      <c r="B341" s="55"/>
      <c r="C341" s="55"/>
      <c r="D341" s="55"/>
      <c r="E341" s="55"/>
      <c r="F341" s="56"/>
      <c r="G341" s="57"/>
    </row>
    <row r="342">
      <c r="A342" s="54"/>
      <c r="B342" s="55"/>
      <c r="C342" s="55"/>
      <c r="D342" s="55"/>
      <c r="E342" s="55"/>
      <c r="F342" s="56"/>
      <c r="G342" s="57"/>
    </row>
    <row r="343">
      <c r="A343" s="54"/>
      <c r="B343" s="55"/>
      <c r="C343" s="55"/>
      <c r="D343" s="55"/>
      <c r="E343" s="55"/>
      <c r="F343" s="56"/>
      <c r="G343" s="57"/>
    </row>
    <row r="344">
      <c r="A344" s="54"/>
      <c r="B344" s="55"/>
      <c r="C344" s="55"/>
      <c r="D344" s="55"/>
      <c r="E344" s="55"/>
      <c r="F344" s="56"/>
      <c r="G344" s="57"/>
    </row>
    <row r="345">
      <c r="A345" s="54"/>
      <c r="B345" s="55"/>
      <c r="C345" s="55"/>
      <c r="D345" s="55"/>
      <c r="E345" s="55"/>
      <c r="F345" s="56"/>
      <c r="G345" s="57"/>
    </row>
    <row r="346">
      <c r="A346" s="54"/>
      <c r="B346" s="55"/>
      <c r="C346" s="55"/>
      <c r="D346" s="55"/>
      <c r="E346" s="55"/>
      <c r="F346" s="56"/>
      <c r="G346" s="57"/>
    </row>
    <row r="347">
      <c r="A347" s="54"/>
      <c r="B347" s="55"/>
      <c r="C347" s="55"/>
      <c r="D347" s="55"/>
      <c r="E347" s="55"/>
      <c r="F347" s="56"/>
      <c r="G347" s="57"/>
    </row>
    <row r="348">
      <c r="A348" s="54"/>
      <c r="B348" s="55"/>
      <c r="C348" s="55"/>
      <c r="D348" s="55"/>
      <c r="E348" s="55"/>
      <c r="F348" s="56"/>
      <c r="G348" s="57"/>
    </row>
    <row r="349">
      <c r="A349" s="54"/>
      <c r="B349" s="55"/>
      <c r="C349" s="55"/>
      <c r="D349" s="55"/>
      <c r="E349" s="55"/>
      <c r="F349" s="56"/>
      <c r="G349" s="57"/>
    </row>
    <row r="350">
      <c r="A350" s="54"/>
      <c r="B350" s="55"/>
      <c r="C350" s="55"/>
      <c r="D350" s="55"/>
      <c r="E350" s="55"/>
      <c r="F350" s="56"/>
      <c r="G350" s="57"/>
    </row>
    <row r="351">
      <c r="A351" s="54"/>
      <c r="B351" s="55"/>
      <c r="C351" s="55"/>
      <c r="D351" s="55"/>
      <c r="E351" s="55"/>
      <c r="F351" s="56"/>
      <c r="G351" s="57"/>
    </row>
    <row r="352">
      <c r="A352" s="54"/>
      <c r="B352" s="55"/>
      <c r="C352" s="55"/>
      <c r="D352" s="55"/>
      <c r="E352" s="55"/>
      <c r="F352" s="56"/>
      <c r="G352" s="57"/>
    </row>
    <row r="353">
      <c r="A353" s="54"/>
      <c r="B353" s="55"/>
      <c r="C353" s="55"/>
      <c r="D353" s="55"/>
      <c r="E353" s="55"/>
      <c r="F353" s="56"/>
      <c r="G353" s="57"/>
    </row>
    <row r="354">
      <c r="A354" s="54"/>
      <c r="B354" s="55"/>
      <c r="C354" s="55"/>
      <c r="D354" s="55"/>
      <c r="E354" s="55"/>
      <c r="F354" s="56"/>
      <c r="G354" s="57"/>
    </row>
    <row r="355">
      <c r="A355" s="54"/>
      <c r="B355" s="55"/>
      <c r="C355" s="55"/>
      <c r="D355" s="55"/>
      <c r="E355" s="55"/>
      <c r="F355" s="56"/>
      <c r="G355" s="57"/>
    </row>
    <row r="356">
      <c r="A356" s="54"/>
      <c r="B356" s="55"/>
      <c r="C356" s="55"/>
      <c r="D356" s="55"/>
      <c r="E356" s="55"/>
      <c r="F356" s="56"/>
      <c r="G356" s="57"/>
    </row>
    <row r="357">
      <c r="A357" s="54"/>
      <c r="B357" s="55"/>
      <c r="C357" s="55"/>
      <c r="D357" s="55"/>
      <c r="E357" s="55"/>
      <c r="F357" s="56"/>
      <c r="G357" s="57"/>
    </row>
    <row r="358">
      <c r="A358" s="54"/>
      <c r="B358" s="55"/>
      <c r="C358" s="55"/>
      <c r="D358" s="55"/>
      <c r="E358" s="55"/>
      <c r="F358" s="56"/>
      <c r="G358" s="57"/>
    </row>
    <row r="359">
      <c r="A359" s="54"/>
      <c r="B359" s="55"/>
      <c r="C359" s="55"/>
      <c r="D359" s="55"/>
      <c r="E359" s="55"/>
      <c r="F359" s="56"/>
      <c r="G359" s="57"/>
    </row>
    <row r="360">
      <c r="A360" s="54"/>
      <c r="B360" s="55"/>
      <c r="C360" s="55"/>
      <c r="D360" s="55"/>
      <c r="E360" s="55"/>
      <c r="F360" s="56"/>
      <c r="G360" s="57"/>
    </row>
    <row r="361">
      <c r="A361" s="54"/>
      <c r="B361" s="55"/>
      <c r="C361" s="55"/>
      <c r="D361" s="55"/>
      <c r="E361" s="55"/>
      <c r="F361" s="56"/>
      <c r="G361" s="57"/>
    </row>
    <row r="362">
      <c r="A362" s="54"/>
      <c r="B362" s="55"/>
      <c r="C362" s="55"/>
      <c r="D362" s="55"/>
      <c r="E362" s="55"/>
      <c r="F362" s="56"/>
      <c r="G362" s="57"/>
    </row>
    <row r="363">
      <c r="A363" s="54"/>
      <c r="B363" s="55"/>
      <c r="C363" s="55"/>
      <c r="D363" s="55"/>
      <c r="E363" s="55"/>
      <c r="F363" s="56"/>
      <c r="G363" s="57"/>
    </row>
    <row r="364">
      <c r="A364" s="54"/>
      <c r="B364" s="55"/>
      <c r="C364" s="55"/>
      <c r="D364" s="55"/>
      <c r="E364" s="55"/>
      <c r="F364" s="56"/>
      <c r="G364" s="57"/>
    </row>
    <row r="365">
      <c r="A365" s="54"/>
      <c r="B365" s="55"/>
      <c r="C365" s="55"/>
      <c r="D365" s="55"/>
      <c r="E365" s="55"/>
      <c r="F365" s="56"/>
      <c r="G365" s="57"/>
    </row>
    <row r="366">
      <c r="A366" s="54"/>
      <c r="B366" s="55"/>
      <c r="C366" s="55"/>
      <c r="D366" s="55"/>
      <c r="E366" s="55"/>
      <c r="F366" s="56"/>
      <c r="G366" s="57"/>
    </row>
    <row r="367">
      <c r="A367" s="54"/>
      <c r="B367" s="55"/>
      <c r="C367" s="55"/>
      <c r="D367" s="55"/>
      <c r="E367" s="55"/>
      <c r="F367" s="56"/>
      <c r="G367" s="57"/>
    </row>
    <row r="368">
      <c r="A368" s="54"/>
      <c r="B368" s="55"/>
      <c r="C368" s="55"/>
      <c r="D368" s="55"/>
      <c r="E368" s="55"/>
      <c r="F368" s="56"/>
      <c r="G368" s="57"/>
    </row>
    <row r="369">
      <c r="A369" s="54"/>
      <c r="B369" s="55"/>
      <c r="C369" s="55"/>
      <c r="D369" s="55"/>
      <c r="E369" s="55"/>
      <c r="F369" s="56"/>
      <c r="G369" s="57"/>
    </row>
    <row r="370">
      <c r="A370" s="54"/>
      <c r="B370" s="55"/>
      <c r="C370" s="55"/>
      <c r="D370" s="55"/>
      <c r="E370" s="55"/>
      <c r="F370" s="56"/>
      <c r="G370" s="57"/>
    </row>
    <row r="371">
      <c r="A371" s="54"/>
      <c r="B371" s="55"/>
      <c r="C371" s="55"/>
      <c r="D371" s="55"/>
      <c r="E371" s="55"/>
      <c r="F371" s="56"/>
      <c r="G371" s="57"/>
    </row>
    <row r="372">
      <c r="A372" s="54"/>
      <c r="B372" s="55"/>
      <c r="C372" s="55"/>
      <c r="D372" s="55"/>
      <c r="E372" s="55"/>
      <c r="F372" s="56"/>
      <c r="G372" s="57"/>
    </row>
    <row r="373">
      <c r="A373" s="54"/>
      <c r="B373" s="55"/>
      <c r="C373" s="55"/>
      <c r="D373" s="55"/>
      <c r="E373" s="55"/>
      <c r="F373" s="56"/>
      <c r="G373" s="57"/>
    </row>
    <row r="374">
      <c r="A374" s="54"/>
      <c r="B374" s="55"/>
      <c r="C374" s="55"/>
      <c r="D374" s="55"/>
      <c r="E374" s="55"/>
      <c r="F374" s="56"/>
      <c r="G374" s="57"/>
    </row>
    <row r="375">
      <c r="A375" s="54"/>
      <c r="B375" s="55"/>
      <c r="C375" s="55"/>
      <c r="D375" s="55"/>
      <c r="E375" s="55"/>
      <c r="F375" s="56"/>
      <c r="G375" s="57"/>
    </row>
    <row r="376">
      <c r="A376" s="54"/>
      <c r="B376" s="55"/>
      <c r="C376" s="55"/>
      <c r="D376" s="55"/>
      <c r="E376" s="55"/>
      <c r="F376" s="56"/>
      <c r="G376" s="57"/>
    </row>
    <row r="377">
      <c r="A377" s="54"/>
      <c r="B377" s="55"/>
      <c r="C377" s="55"/>
      <c r="D377" s="55"/>
      <c r="E377" s="55"/>
      <c r="F377" s="56"/>
      <c r="G377" s="57"/>
    </row>
    <row r="378">
      <c r="A378" s="54"/>
      <c r="B378" s="55"/>
      <c r="C378" s="55"/>
      <c r="D378" s="55"/>
      <c r="E378" s="55"/>
      <c r="F378" s="56"/>
      <c r="G378" s="57"/>
    </row>
    <row r="379">
      <c r="A379" s="54"/>
      <c r="B379" s="55"/>
      <c r="C379" s="55"/>
      <c r="D379" s="55"/>
      <c r="E379" s="55"/>
      <c r="F379" s="56"/>
      <c r="G379" s="57"/>
    </row>
    <row r="380">
      <c r="A380" s="54"/>
      <c r="B380" s="55"/>
      <c r="C380" s="55"/>
      <c r="D380" s="55"/>
      <c r="E380" s="55"/>
      <c r="F380" s="56"/>
      <c r="G380" s="57"/>
    </row>
    <row r="381">
      <c r="A381" s="54"/>
      <c r="B381" s="55"/>
      <c r="C381" s="55"/>
      <c r="D381" s="55"/>
      <c r="E381" s="55"/>
      <c r="F381" s="56"/>
      <c r="G381" s="57"/>
    </row>
    <row r="382">
      <c r="A382" s="54"/>
      <c r="B382" s="55"/>
      <c r="C382" s="55"/>
      <c r="D382" s="55"/>
      <c r="E382" s="55"/>
      <c r="F382" s="56"/>
      <c r="G382" s="57"/>
    </row>
    <row r="383">
      <c r="A383" s="54"/>
      <c r="B383" s="55"/>
      <c r="C383" s="55"/>
      <c r="D383" s="55"/>
      <c r="E383" s="55"/>
      <c r="F383" s="56"/>
      <c r="G383" s="57"/>
    </row>
    <row r="384">
      <c r="A384" s="54"/>
      <c r="B384" s="55"/>
      <c r="C384" s="55"/>
      <c r="D384" s="55"/>
      <c r="E384" s="55"/>
      <c r="F384" s="56"/>
      <c r="G384" s="57"/>
    </row>
    <row r="385">
      <c r="A385" s="54"/>
      <c r="B385" s="55"/>
      <c r="C385" s="55"/>
      <c r="D385" s="55"/>
      <c r="E385" s="55"/>
      <c r="F385" s="56"/>
      <c r="G385" s="57"/>
    </row>
    <row r="386">
      <c r="A386" s="54"/>
      <c r="B386" s="55"/>
      <c r="C386" s="55"/>
      <c r="D386" s="55"/>
      <c r="E386" s="55"/>
      <c r="F386" s="56"/>
      <c r="G386" s="57"/>
    </row>
    <row r="387">
      <c r="A387" s="54"/>
      <c r="B387" s="55"/>
      <c r="C387" s="55"/>
      <c r="D387" s="55"/>
      <c r="E387" s="55"/>
      <c r="F387" s="56"/>
      <c r="G387" s="57"/>
    </row>
    <row r="388">
      <c r="A388" s="54"/>
      <c r="B388" s="55"/>
      <c r="C388" s="55"/>
      <c r="D388" s="55"/>
      <c r="E388" s="55"/>
      <c r="F388" s="56"/>
      <c r="G388" s="57"/>
    </row>
    <row r="389">
      <c r="A389" s="54"/>
      <c r="B389" s="55"/>
      <c r="C389" s="55"/>
      <c r="D389" s="55"/>
      <c r="E389" s="55"/>
      <c r="F389" s="56"/>
      <c r="G389" s="57"/>
    </row>
    <row r="390">
      <c r="A390" s="54"/>
      <c r="B390" s="55"/>
      <c r="C390" s="55"/>
      <c r="D390" s="55"/>
      <c r="E390" s="55"/>
      <c r="F390" s="56"/>
      <c r="G390" s="57"/>
    </row>
    <row r="391">
      <c r="A391" s="54"/>
      <c r="B391" s="55"/>
      <c r="C391" s="55"/>
      <c r="D391" s="55"/>
      <c r="E391" s="55"/>
      <c r="F391" s="56"/>
      <c r="G391" s="57"/>
    </row>
    <row r="392">
      <c r="A392" s="54"/>
      <c r="B392" s="55"/>
      <c r="C392" s="55"/>
      <c r="D392" s="55"/>
      <c r="E392" s="55"/>
      <c r="F392" s="56"/>
      <c r="G392" s="57"/>
    </row>
    <row r="393">
      <c r="A393" s="54"/>
      <c r="B393" s="55"/>
      <c r="C393" s="55"/>
      <c r="D393" s="55"/>
      <c r="E393" s="55"/>
      <c r="F393" s="56"/>
      <c r="G393" s="57"/>
    </row>
    <row r="394">
      <c r="A394" s="54"/>
      <c r="B394" s="55"/>
      <c r="C394" s="55"/>
      <c r="D394" s="55"/>
      <c r="E394" s="55"/>
      <c r="F394" s="56"/>
      <c r="G394" s="57"/>
    </row>
    <row r="395">
      <c r="A395" s="54"/>
      <c r="B395" s="55"/>
      <c r="C395" s="55"/>
      <c r="D395" s="55"/>
      <c r="E395" s="55"/>
      <c r="F395" s="56"/>
      <c r="G395" s="57"/>
    </row>
    <row r="396">
      <c r="A396" s="54"/>
      <c r="B396" s="55"/>
      <c r="C396" s="55"/>
      <c r="D396" s="55"/>
      <c r="E396" s="55"/>
      <c r="F396" s="56"/>
      <c r="G396" s="57"/>
    </row>
    <row r="397">
      <c r="A397" s="54"/>
      <c r="B397" s="55"/>
      <c r="C397" s="55"/>
      <c r="D397" s="55"/>
      <c r="E397" s="55"/>
      <c r="F397" s="56"/>
      <c r="G397" s="57"/>
    </row>
    <row r="398">
      <c r="A398" s="54"/>
      <c r="B398" s="55"/>
      <c r="C398" s="55"/>
      <c r="D398" s="55"/>
      <c r="E398" s="55"/>
      <c r="F398" s="56"/>
      <c r="G398" s="57"/>
    </row>
    <row r="399">
      <c r="A399" s="54"/>
      <c r="B399" s="55"/>
      <c r="C399" s="55"/>
      <c r="D399" s="55"/>
      <c r="E399" s="55"/>
      <c r="F399" s="56"/>
      <c r="G399" s="57"/>
    </row>
    <row r="400">
      <c r="A400" s="54"/>
      <c r="B400" s="55"/>
      <c r="C400" s="55"/>
      <c r="D400" s="55"/>
      <c r="E400" s="55"/>
      <c r="F400" s="56"/>
      <c r="G400" s="57"/>
    </row>
    <row r="401">
      <c r="A401" s="54"/>
      <c r="B401" s="55"/>
      <c r="C401" s="55"/>
      <c r="D401" s="55"/>
      <c r="E401" s="55"/>
      <c r="F401" s="56"/>
      <c r="G401" s="57"/>
    </row>
    <row r="402">
      <c r="A402" s="54"/>
      <c r="B402" s="55"/>
      <c r="C402" s="55"/>
      <c r="D402" s="55"/>
      <c r="E402" s="55"/>
      <c r="F402" s="56"/>
      <c r="G402" s="57"/>
    </row>
    <row r="403">
      <c r="A403" s="54"/>
      <c r="B403" s="55"/>
      <c r="C403" s="55"/>
      <c r="D403" s="55"/>
      <c r="E403" s="55"/>
      <c r="F403" s="56"/>
      <c r="G403" s="57"/>
    </row>
    <row r="404">
      <c r="A404" s="54"/>
      <c r="B404" s="55"/>
      <c r="C404" s="55"/>
      <c r="D404" s="55"/>
      <c r="E404" s="55"/>
      <c r="F404" s="56"/>
      <c r="G404" s="57"/>
    </row>
    <row r="405">
      <c r="A405" s="54"/>
      <c r="B405" s="55"/>
      <c r="C405" s="55"/>
      <c r="D405" s="55"/>
      <c r="E405" s="55"/>
      <c r="F405" s="56"/>
      <c r="G405" s="57"/>
    </row>
    <row r="406">
      <c r="A406" s="54"/>
      <c r="B406" s="55"/>
      <c r="C406" s="55"/>
      <c r="D406" s="55"/>
      <c r="E406" s="55"/>
      <c r="F406" s="56"/>
      <c r="G406" s="57"/>
    </row>
    <row r="407">
      <c r="A407" s="54"/>
      <c r="B407" s="55"/>
      <c r="C407" s="55"/>
      <c r="D407" s="55"/>
      <c r="E407" s="55"/>
      <c r="F407" s="56"/>
      <c r="G407" s="57"/>
    </row>
    <row r="408">
      <c r="A408" s="54"/>
      <c r="B408" s="55"/>
      <c r="C408" s="55"/>
      <c r="D408" s="55"/>
      <c r="E408" s="55"/>
      <c r="F408" s="56"/>
      <c r="G408" s="57"/>
    </row>
    <row r="409">
      <c r="A409" s="54"/>
      <c r="B409" s="55"/>
      <c r="C409" s="55"/>
      <c r="D409" s="55"/>
      <c r="E409" s="55"/>
      <c r="F409" s="56"/>
      <c r="G409" s="57"/>
    </row>
    <row r="410">
      <c r="A410" s="54"/>
      <c r="B410" s="55"/>
      <c r="C410" s="55"/>
      <c r="D410" s="55"/>
      <c r="E410" s="55"/>
      <c r="F410" s="56"/>
      <c r="G410" s="57"/>
    </row>
    <row r="411">
      <c r="A411" s="54"/>
      <c r="B411" s="55"/>
      <c r="C411" s="55"/>
      <c r="D411" s="55"/>
      <c r="E411" s="55"/>
      <c r="F411" s="56"/>
      <c r="G411" s="57"/>
    </row>
    <row r="412">
      <c r="A412" s="54"/>
      <c r="B412" s="55"/>
      <c r="C412" s="55"/>
      <c r="D412" s="55"/>
      <c r="E412" s="55"/>
      <c r="F412" s="56"/>
      <c r="G412" s="57"/>
    </row>
    <row r="413">
      <c r="A413" s="54"/>
      <c r="B413" s="55"/>
      <c r="C413" s="55"/>
      <c r="D413" s="55"/>
      <c r="E413" s="55"/>
      <c r="F413" s="56"/>
      <c r="G413" s="57"/>
    </row>
    <row r="414">
      <c r="A414" s="54"/>
      <c r="B414" s="55"/>
      <c r="C414" s="55"/>
      <c r="D414" s="55"/>
      <c r="E414" s="55"/>
      <c r="F414" s="56"/>
      <c r="G414" s="57"/>
    </row>
    <row r="415">
      <c r="A415" s="54"/>
      <c r="B415" s="55"/>
      <c r="C415" s="55"/>
      <c r="D415" s="55"/>
      <c r="E415" s="55"/>
      <c r="F415" s="56"/>
      <c r="G415" s="57"/>
    </row>
    <row r="416">
      <c r="A416" s="54"/>
      <c r="B416" s="55"/>
      <c r="C416" s="55"/>
      <c r="D416" s="55"/>
      <c r="E416" s="55"/>
      <c r="F416" s="56"/>
      <c r="G416" s="57"/>
    </row>
    <row r="417">
      <c r="A417" s="54"/>
      <c r="B417" s="55"/>
      <c r="C417" s="55"/>
      <c r="D417" s="55"/>
      <c r="E417" s="55"/>
      <c r="F417" s="56"/>
      <c r="G417" s="57"/>
    </row>
    <row r="418">
      <c r="A418" s="54"/>
      <c r="B418" s="55"/>
      <c r="C418" s="55"/>
      <c r="D418" s="55"/>
      <c r="E418" s="55"/>
      <c r="F418" s="56"/>
      <c r="G418" s="57"/>
    </row>
    <row r="419">
      <c r="A419" s="54"/>
      <c r="B419" s="55"/>
      <c r="C419" s="55"/>
      <c r="D419" s="55"/>
      <c r="E419" s="55"/>
      <c r="F419" s="56"/>
      <c r="G419" s="57"/>
    </row>
    <row r="420">
      <c r="A420" s="54"/>
      <c r="B420" s="55"/>
      <c r="C420" s="55"/>
      <c r="D420" s="55"/>
      <c r="E420" s="55"/>
      <c r="F420" s="56"/>
      <c r="G420" s="57"/>
    </row>
    <row r="421">
      <c r="A421" s="54"/>
      <c r="B421" s="55"/>
      <c r="C421" s="55"/>
      <c r="D421" s="55"/>
      <c r="E421" s="55"/>
      <c r="F421" s="56"/>
      <c r="G421" s="57"/>
    </row>
    <row r="422">
      <c r="A422" s="54"/>
      <c r="B422" s="55"/>
      <c r="C422" s="55"/>
      <c r="D422" s="55"/>
      <c r="E422" s="55"/>
      <c r="F422" s="56"/>
      <c r="G422" s="57"/>
    </row>
    <row r="423">
      <c r="A423" s="54"/>
      <c r="B423" s="55"/>
      <c r="C423" s="55"/>
      <c r="D423" s="55"/>
      <c r="E423" s="55"/>
      <c r="F423" s="56"/>
      <c r="G423" s="57"/>
    </row>
    <row r="424">
      <c r="A424" s="54"/>
      <c r="B424" s="55"/>
      <c r="C424" s="55"/>
      <c r="D424" s="55"/>
      <c r="E424" s="55"/>
      <c r="F424" s="56"/>
      <c r="G424" s="57"/>
    </row>
    <row r="425">
      <c r="A425" s="54"/>
      <c r="B425" s="55"/>
      <c r="C425" s="55"/>
      <c r="D425" s="55"/>
      <c r="E425" s="55"/>
      <c r="F425" s="56"/>
      <c r="G425" s="57"/>
    </row>
    <row r="426">
      <c r="A426" s="54"/>
      <c r="B426" s="55"/>
      <c r="C426" s="55"/>
      <c r="D426" s="55"/>
      <c r="E426" s="55"/>
      <c r="F426" s="56"/>
      <c r="G426" s="57"/>
    </row>
    <row r="427">
      <c r="A427" s="54"/>
      <c r="B427" s="55"/>
      <c r="C427" s="55"/>
      <c r="D427" s="55"/>
      <c r="E427" s="55"/>
      <c r="F427" s="56"/>
      <c r="G427" s="57"/>
    </row>
    <row r="428">
      <c r="A428" s="54"/>
      <c r="B428" s="55"/>
      <c r="C428" s="55"/>
      <c r="D428" s="55"/>
      <c r="E428" s="55"/>
      <c r="F428" s="56"/>
      <c r="G428" s="57"/>
    </row>
    <row r="429">
      <c r="A429" s="54"/>
      <c r="B429" s="55"/>
      <c r="C429" s="55"/>
      <c r="D429" s="55"/>
      <c r="E429" s="55"/>
      <c r="F429" s="56"/>
      <c r="G429" s="57"/>
    </row>
    <row r="430">
      <c r="A430" s="54"/>
      <c r="B430" s="55"/>
      <c r="C430" s="55"/>
      <c r="D430" s="55"/>
      <c r="E430" s="55"/>
      <c r="F430" s="56"/>
      <c r="G430" s="57"/>
    </row>
    <row r="431">
      <c r="A431" s="54"/>
      <c r="B431" s="55"/>
      <c r="C431" s="55"/>
      <c r="D431" s="55"/>
      <c r="E431" s="55"/>
      <c r="F431" s="56"/>
      <c r="G431" s="57"/>
    </row>
    <row r="432">
      <c r="A432" s="54"/>
      <c r="B432" s="55"/>
      <c r="C432" s="55"/>
      <c r="D432" s="55"/>
      <c r="E432" s="55"/>
      <c r="F432" s="56"/>
      <c r="G432" s="57"/>
    </row>
    <row r="433">
      <c r="A433" s="54"/>
      <c r="B433" s="55"/>
      <c r="C433" s="55"/>
      <c r="D433" s="55"/>
      <c r="E433" s="55"/>
      <c r="F433" s="56"/>
      <c r="G433" s="57"/>
    </row>
    <row r="434">
      <c r="A434" s="54"/>
      <c r="B434" s="55"/>
      <c r="C434" s="55"/>
      <c r="D434" s="55"/>
      <c r="E434" s="55"/>
      <c r="F434" s="56"/>
      <c r="G434" s="57"/>
    </row>
    <row r="435">
      <c r="A435" s="54"/>
      <c r="B435" s="55"/>
      <c r="C435" s="55"/>
      <c r="D435" s="55"/>
      <c r="E435" s="55"/>
      <c r="F435" s="56"/>
      <c r="G435" s="57"/>
    </row>
    <row r="436">
      <c r="A436" s="54"/>
      <c r="B436" s="55"/>
      <c r="C436" s="55"/>
      <c r="D436" s="55"/>
      <c r="E436" s="55"/>
      <c r="F436" s="56"/>
      <c r="G436" s="57"/>
    </row>
    <row r="437">
      <c r="A437" s="54"/>
      <c r="B437" s="55"/>
      <c r="C437" s="55"/>
      <c r="D437" s="55"/>
      <c r="E437" s="55"/>
      <c r="F437" s="56"/>
      <c r="G437" s="57"/>
    </row>
    <row r="438">
      <c r="A438" s="54"/>
      <c r="B438" s="55"/>
      <c r="C438" s="55"/>
      <c r="D438" s="55"/>
      <c r="E438" s="55"/>
      <c r="F438" s="56"/>
      <c r="G438" s="57"/>
    </row>
    <row r="439">
      <c r="A439" s="54"/>
      <c r="B439" s="55"/>
      <c r="C439" s="55"/>
      <c r="D439" s="55"/>
      <c r="E439" s="55"/>
      <c r="F439" s="56"/>
      <c r="G439" s="57"/>
    </row>
    <row r="440">
      <c r="A440" s="54"/>
      <c r="B440" s="55"/>
      <c r="C440" s="55"/>
      <c r="D440" s="55"/>
      <c r="E440" s="55"/>
      <c r="F440" s="56"/>
      <c r="G440" s="57"/>
    </row>
    <row r="441">
      <c r="A441" s="54"/>
      <c r="B441" s="55"/>
      <c r="C441" s="55"/>
      <c r="D441" s="55"/>
      <c r="E441" s="55"/>
      <c r="F441" s="56"/>
      <c r="G441" s="57"/>
    </row>
    <row r="442">
      <c r="A442" s="54"/>
      <c r="B442" s="55"/>
      <c r="C442" s="55"/>
      <c r="D442" s="55"/>
      <c r="E442" s="55"/>
      <c r="F442" s="56"/>
      <c r="G442" s="57"/>
    </row>
    <row r="443">
      <c r="A443" s="54"/>
      <c r="B443" s="55"/>
      <c r="C443" s="55"/>
      <c r="D443" s="55"/>
      <c r="E443" s="55"/>
      <c r="F443" s="56"/>
      <c r="G443" s="57"/>
    </row>
    <row r="444">
      <c r="A444" s="54"/>
      <c r="B444" s="55"/>
      <c r="C444" s="55"/>
      <c r="D444" s="55"/>
      <c r="E444" s="55"/>
      <c r="F444" s="56"/>
      <c r="G444" s="57"/>
    </row>
    <row r="445">
      <c r="A445" s="54"/>
      <c r="B445" s="55"/>
      <c r="C445" s="55"/>
      <c r="D445" s="55"/>
      <c r="E445" s="55"/>
      <c r="F445" s="56"/>
      <c r="G445" s="57"/>
    </row>
    <row r="446">
      <c r="A446" s="54"/>
      <c r="B446" s="55"/>
      <c r="C446" s="55"/>
      <c r="D446" s="55"/>
      <c r="E446" s="55"/>
      <c r="F446" s="56"/>
      <c r="G446" s="57"/>
    </row>
    <row r="447">
      <c r="A447" s="54"/>
      <c r="B447" s="55"/>
      <c r="C447" s="55"/>
      <c r="D447" s="55"/>
      <c r="E447" s="55"/>
      <c r="F447" s="56"/>
      <c r="G447" s="57"/>
    </row>
    <row r="448">
      <c r="A448" s="54"/>
      <c r="B448" s="55"/>
      <c r="C448" s="55"/>
      <c r="D448" s="55"/>
      <c r="E448" s="55"/>
      <c r="F448" s="56"/>
      <c r="G448" s="57"/>
    </row>
    <row r="449">
      <c r="A449" s="54"/>
      <c r="B449" s="55"/>
      <c r="C449" s="55"/>
      <c r="D449" s="55"/>
      <c r="E449" s="55"/>
      <c r="F449" s="56"/>
      <c r="G449" s="57"/>
    </row>
    <row r="450">
      <c r="A450" s="54"/>
      <c r="B450" s="55"/>
      <c r="C450" s="55"/>
      <c r="D450" s="55"/>
      <c r="E450" s="55"/>
      <c r="F450" s="56"/>
      <c r="G450" s="57"/>
    </row>
    <row r="451">
      <c r="A451" s="54"/>
      <c r="B451" s="55"/>
      <c r="C451" s="55"/>
      <c r="D451" s="55"/>
      <c r="E451" s="55"/>
      <c r="F451" s="56"/>
      <c r="G451" s="57"/>
    </row>
    <row r="452">
      <c r="A452" s="54"/>
      <c r="B452" s="55"/>
      <c r="C452" s="55"/>
      <c r="D452" s="55"/>
      <c r="E452" s="55"/>
      <c r="F452" s="56"/>
      <c r="G452" s="57"/>
    </row>
    <row r="453">
      <c r="A453" s="54"/>
      <c r="B453" s="55"/>
      <c r="C453" s="55"/>
      <c r="D453" s="55"/>
      <c r="E453" s="55"/>
      <c r="F453" s="56"/>
      <c r="G453" s="57"/>
    </row>
    <row r="454">
      <c r="A454" s="54"/>
      <c r="B454" s="55"/>
      <c r="C454" s="55"/>
      <c r="D454" s="55"/>
      <c r="E454" s="55"/>
      <c r="F454" s="56"/>
      <c r="G454" s="57"/>
    </row>
    <row r="455">
      <c r="A455" s="54"/>
      <c r="B455" s="55"/>
      <c r="C455" s="55"/>
      <c r="D455" s="55"/>
      <c r="E455" s="55"/>
      <c r="F455" s="56"/>
      <c r="G455" s="57"/>
    </row>
    <row r="456">
      <c r="A456" s="54"/>
      <c r="B456" s="55"/>
      <c r="C456" s="55"/>
      <c r="D456" s="55"/>
      <c r="E456" s="55"/>
      <c r="F456" s="56"/>
      <c r="G456" s="57"/>
    </row>
    <row r="457">
      <c r="A457" s="54"/>
      <c r="B457" s="55"/>
      <c r="C457" s="55"/>
      <c r="D457" s="55"/>
      <c r="E457" s="55"/>
      <c r="F457" s="56"/>
      <c r="G457" s="57"/>
    </row>
    <row r="458">
      <c r="A458" s="54"/>
      <c r="B458" s="55"/>
      <c r="C458" s="55"/>
      <c r="D458" s="55"/>
      <c r="E458" s="55"/>
      <c r="F458" s="56"/>
      <c r="G458" s="57"/>
    </row>
    <row r="459">
      <c r="A459" s="54"/>
      <c r="B459" s="55"/>
      <c r="C459" s="55"/>
      <c r="D459" s="55"/>
      <c r="E459" s="55"/>
      <c r="F459" s="56"/>
      <c r="G459" s="57"/>
    </row>
    <row r="460">
      <c r="A460" s="54"/>
      <c r="B460" s="55"/>
      <c r="C460" s="55"/>
      <c r="D460" s="55"/>
      <c r="E460" s="55"/>
      <c r="F460" s="56"/>
      <c r="G460" s="57"/>
    </row>
    <row r="461">
      <c r="A461" s="54"/>
      <c r="B461" s="55"/>
      <c r="C461" s="55"/>
      <c r="D461" s="55"/>
      <c r="E461" s="55"/>
      <c r="F461" s="56"/>
      <c r="G461" s="57"/>
    </row>
    <row r="462">
      <c r="A462" s="54"/>
      <c r="B462" s="55"/>
      <c r="C462" s="55"/>
      <c r="D462" s="55"/>
      <c r="E462" s="55"/>
      <c r="F462" s="56"/>
      <c r="G462" s="57"/>
    </row>
    <row r="463">
      <c r="A463" s="54"/>
      <c r="B463" s="55"/>
      <c r="C463" s="55"/>
      <c r="D463" s="55"/>
      <c r="E463" s="55"/>
      <c r="F463" s="56"/>
      <c r="G463" s="57"/>
    </row>
    <row r="464">
      <c r="A464" s="54"/>
      <c r="B464" s="55"/>
      <c r="C464" s="55"/>
      <c r="D464" s="55"/>
      <c r="E464" s="55"/>
      <c r="F464" s="56"/>
      <c r="G464" s="57"/>
    </row>
    <row r="465">
      <c r="A465" s="54"/>
      <c r="B465" s="55"/>
      <c r="C465" s="55"/>
      <c r="D465" s="55"/>
      <c r="E465" s="55"/>
      <c r="F465" s="56"/>
      <c r="G465" s="57"/>
    </row>
    <row r="466">
      <c r="A466" s="54"/>
      <c r="B466" s="55"/>
      <c r="C466" s="55"/>
      <c r="D466" s="55"/>
      <c r="E466" s="55"/>
      <c r="F466" s="56"/>
      <c r="G466" s="57"/>
    </row>
    <row r="467">
      <c r="A467" s="54"/>
      <c r="B467" s="55"/>
      <c r="C467" s="55"/>
      <c r="D467" s="55"/>
      <c r="E467" s="55"/>
      <c r="F467" s="56"/>
      <c r="G467" s="57"/>
    </row>
    <row r="468">
      <c r="A468" s="54"/>
      <c r="B468" s="55"/>
      <c r="C468" s="55"/>
      <c r="D468" s="55"/>
      <c r="E468" s="55"/>
      <c r="F468" s="56"/>
      <c r="G468" s="57"/>
    </row>
    <row r="469">
      <c r="A469" s="54"/>
      <c r="B469" s="55"/>
      <c r="C469" s="55"/>
      <c r="D469" s="55"/>
      <c r="E469" s="55"/>
      <c r="F469" s="56"/>
      <c r="G469" s="57"/>
    </row>
    <row r="470">
      <c r="A470" s="54"/>
      <c r="B470" s="55"/>
      <c r="C470" s="55"/>
      <c r="D470" s="55"/>
      <c r="E470" s="55"/>
      <c r="F470" s="56"/>
      <c r="G470" s="57"/>
    </row>
    <row r="471">
      <c r="A471" s="54"/>
      <c r="B471" s="55"/>
      <c r="C471" s="55"/>
      <c r="D471" s="55"/>
      <c r="E471" s="55"/>
      <c r="F471" s="56"/>
      <c r="G471" s="57"/>
    </row>
    <row r="472">
      <c r="A472" s="54"/>
      <c r="B472" s="55"/>
      <c r="C472" s="55"/>
      <c r="D472" s="55"/>
      <c r="E472" s="55"/>
      <c r="F472" s="56"/>
      <c r="G472" s="57"/>
    </row>
    <row r="473">
      <c r="A473" s="54"/>
      <c r="B473" s="55"/>
      <c r="C473" s="55"/>
      <c r="D473" s="55"/>
      <c r="E473" s="55"/>
      <c r="F473" s="56"/>
      <c r="G473" s="57"/>
    </row>
    <row r="474">
      <c r="A474" s="54"/>
      <c r="B474" s="55"/>
      <c r="C474" s="55"/>
      <c r="D474" s="55"/>
      <c r="E474" s="55"/>
      <c r="F474" s="56"/>
      <c r="G474" s="57"/>
    </row>
    <row r="475">
      <c r="A475" s="54"/>
      <c r="B475" s="55"/>
      <c r="C475" s="55"/>
      <c r="D475" s="55"/>
      <c r="E475" s="55"/>
      <c r="F475" s="56"/>
      <c r="G475" s="57"/>
    </row>
    <row r="476">
      <c r="A476" s="54"/>
      <c r="B476" s="55"/>
      <c r="C476" s="55"/>
      <c r="D476" s="55"/>
      <c r="E476" s="55"/>
      <c r="F476" s="56"/>
      <c r="G476" s="57"/>
    </row>
    <row r="477">
      <c r="A477" s="54"/>
      <c r="B477" s="55"/>
      <c r="C477" s="55"/>
      <c r="D477" s="55"/>
      <c r="E477" s="55"/>
      <c r="F477" s="56"/>
      <c r="G477" s="57"/>
    </row>
    <row r="478">
      <c r="A478" s="54"/>
      <c r="B478" s="55"/>
      <c r="C478" s="55"/>
      <c r="D478" s="55"/>
      <c r="E478" s="55"/>
      <c r="F478" s="56"/>
      <c r="G478" s="57"/>
    </row>
    <row r="479">
      <c r="A479" s="54"/>
      <c r="B479" s="55"/>
      <c r="C479" s="55"/>
      <c r="D479" s="55"/>
      <c r="E479" s="55"/>
      <c r="F479" s="56"/>
      <c r="G479" s="57"/>
    </row>
    <row r="480">
      <c r="A480" s="54"/>
      <c r="B480" s="55"/>
      <c r="C480" s="55"/>
      <c r="D480" s="55"/>
      <c r="E480" s="55"/>
      <c r="F480" s="56"/>
      <c r="G480" s="57"/>
    </row>
    <row r="481">
      <c r="A481" s="54"/>
      <c r="B481" s="55"/>
      <c r="C481" s="55"/>
      <c r="D481" s="55"/>
      <c r="E481" s="55"/>
      <c r="F481" s="56"/>
      <c r="G481" s="57"/>
    </row>
    <row r="482">
      <c r="A482" s="54"/>
      <c r="B482" s="55"/>
      <c r="C482" s="55"/>
      <c r="D482" s="55"/>
      <c r="E482" s="55"/>
      <c r="F482" s="56"/>
      <c r="G482" s="57"/>
    </row>
    <row r="483">
      <c r="A483" s="54"/>
      <c r="B483" s="55"/>
      <c r="C483" s="55"/>
      <c r="D483" s="55"/>
      <c r="E483" s="55"/>
      <c r="F483" s="56"/>
      <c r="G483" s="57"/>
    </row>
    <row r="484">
      <c r="A484" s="54"/>
      <c r="B484" s="55"/>
      <c r="C484" s="55"/>
      <c r="D484" s="55"/>
      <c r="E484" s="55"/>
      <c r="F484" s="56"/>
      <c r="G484" s="57"/>
    </row>
    <row r="485">
      <c r="A485" s="54"/>
      <c r="B485" s="55"/>
      <c r="C485" s="55"/>
      <c r="D485" s="55"/>
      <c r="E485" s="55"/>
      <c r="F485" s="56"/>
      <c r="G485" s="57"/>
    </row>
    <row r="486">
      <c r="A486" s="54"/>
      <c r="B486" s="55"/>
      <c r="C486" s="55"/>
      <c r="D486" s="55"/>
      <c r="E486" s="55"/>
      <c r="F486" s="56"/>
      <c r="G486" s="57"/>
    </row>
    <row r="487">
      <c r="A487" s="54"/>
      <c r="B487" s="55"/>
      <c r="C487" s="55"/>
      <c r="D487" s="55"/>
      <c r="E487" s="55"/>
      <c r="F487" s="56"/>
      <c r="G487" s="57"/>
    </row>
    <row r="488">
      <c r="A488" s="54"/>
      <c r="B488" s="55"/>
      <c r="C488" s="55"/>
      <c r="D488" s="55"/>
      <c r="E488" s="55"/>
      <c r="F488" s="56"/>
      <c r="G488" s="57"/>
    </row>
    <row r="489">
      <c r="A489" s="54"/>
      <c r="B489" s="55"/>
      <c r="C489" s="55"/>
      <c r="D489" s="55"/>
      <c r="E489" s="55"/>
      <c r="F489" s="56"/>
      <c r="G489" s="57"/>
    </row>
    <row r="490">
      <c r="A490" s="54"/>
      <c r="B490" s="55"/>
      <c r="C490" s="55"/>
      <c r="D490" s="55"/>
      <c r="E490" s="55"/>
      <c r="F490" s="56"/>
      <c r="G490" s="57"/>
    </row>
    <row r="491">
      <c r="A491" s="54"/>
      <c r="B491" s="55"/>
      <c r="C491" s="55"/>
      <c r="D491" s="55"/>
      <c r="E491" s="55"/>
      <c r="F491" s="56"/>
      <c r="G491" s="57"/>
    </row>
    <row r="492">
      <c r="A492" s="54"/>
      <c r="B492" s="55"/>
      <c r="C492" s="55"/>
      <c r="D492" s="55"/>
      <c r="E492" s="55"/>
      <c r="F492" s="56"/>
      <c r="G492" s="57"/>
    </row>
    <row r="493">
      <c r="A493" s="54"/>
      <c r="B493" s="55"/>
      <c r="C493" s="55"/>
      <c r="D493" s="55"/>
      <c r="E493" s="55"/>
      <c r="F493" s="56"/>
      <c r="G493" s="57"/>
    </row>
    <row r="494">
      <c r="A494" s="54"/>
      <c r="B494" s="55"/>
      <c r="C494" s="55"/>
      <c r="D494" s="55"/>
      <c r="E494" s="55"/>
      <c r="F494" s="56"/>
      <c r="G494" s="57"/>
    </row>
    <row r="495">
      <c r="A495" s="54"/>
      <c r="B495" s="55"/>
      <c r="C495" s="55"/>
      <c r="D495" s="55"/>
      <c r="E495" s="55"/>
      <c r="F495" s="56"/>
      <c r="G495" s="57"/>
    </row>
    <row r="496">
      <c r="A496" s="54"/>
      <c r="B496" s="55"/>
      <c r="C496" s="55"/>
      <c r="D496" s="55"/>
      <c r="E496" s="55"/>
      <c r="F496" s="56"/>
      <c r="G496" s="57"/>
    </row>
    <row r="497">
      <c r="A497" s="54"/>
      <c r="B497" s="55"/>
      <c r="C497" s="55"/>
      <c r="D497" s="55"/>
      <c r="E497" s="55"/>
      <c r="F497" s="56"/>
      <c r="G497" s="57"/>
    </row>
    <row r="498">
      <c r="A498" s="54"/>
      <c r="B498" s="55"/>
      <c r="C498" s="55"/>
      <c r="D498" s="55"/>
      <c r="E498" s="55"/>
      <c r="F498" s="56"/>
      <c r="G498" s="57"/>
    </row>
    <row r="499">
      <c r="A499" s="54"/>
      <c r="B499" s="55"/>
      <c r="C499" s="55"/>
      <c r="D499" s="55"/>
      <c r="E499" s="55"/>
      <c r="F499" s="56"/>
      <c r="G499" s="57"/>
    </row>
    <row r="500">
      <c r="A500" s="54"/>
      <c r="B500" s="55"/>
      <c r="C500" s="55"/>
      <c r="D500" s="55"/>
      <c r="E500" s="55"/>
      <c r="F500" s="56"/>
      <c r="G500" s="57"/>
    </row>
    <row r="501">
      <c r="A501" s="54"/>
      <c r="B501" s="55"/>
      <c r="C501" s="55"/>
      <c r="D501" s="55"/>
      <c r="E501" s="55"/>
      <c r="F501" s="56"/>
      <c r="G501" s="57"/>
    </row>
    <row r="502">
      <c r="A502" s="54"/>
      <c r="B502" s="55"/>
      <c r="C502" s="55"/>
      <c r="D502" s="55"/>
      <c r="E502" s="55"/>
      <c r="F502" s="56"/>
      <c r="G502" s="57"/>
    </row>
    <row r="503">
      <c r="A503" s="54"/>
      <c r="B503" s="55"/>
      <c r="C503" s="55"/>
      <c r="D503" s="55"/>
      <c r="E503" s="55"/>
      <c r="F503" s="56"/>
      <c r="G503" s="57"/>
    </row>
    <row r="504">
      <c r="A504" s="54"/>
      <c r="B504" s="55"/>
      <c r="C504" s="55"/>
      <c r="D504" s="55"/>
      <c r="E504" s="55"/>
      <c r="F504" s="56"/>
      <c r="G504" s="57"/>
    </row>
    <row r="505">
      <c r="A505" s="54"/>
      <c r="B505" s="55"/>
      <c r="C505" s="55"/>
      <c r="D505" s="55"/>
      <c r="E505" s="55"/>
      <c r="F505" s="56"/>
      <c r="G505" s="57"/>
    </row>
    <row r="506">
      <c r="A506" s="54"/>
      <c r="B506" s="55"/>
      <c r="C506" s="55"/>
      <c r="D506" s="55"/>
      <c r="E506" s="55"/>
      <c r="F506" s="56"/>
      <c r="G506" s="57"/>
    </row>
    <row r="507">
      <c r="A507" s="54"/>
      <c r="B507" s="55"/>
      <c r="C507" s="55"/>
      <c r="D507" s="55"/>
      <c r="E507" s="55"/>
      <c r="F507" s="56"/>
      <c r="G507" s="57"/>
    </row>
    <row r="508">
      <c r="A508" s="54"/>
      <c r="B508" s="55"/>
      <c r="C508" s="55"/>
      <c r="D508" s="55"/>
      <c r="E508" s="55"/>
      <c r="F508" s="56"/>
      <c r="G508" s="57"/>
    </row>
    <row r="509">
      <c r="A509" s="54"/>
      <c r="B509" s="55"/>
      <c r="C509" s="55"/>
      <c r="D509" s="55"/>
      <c r="E509" s="55"/>
      <c r="F509" s="56"/>
      <c r="G509" s="57"/>
    </row>
    <row r="510">
      <c r="A510" s="54"/>
      <c r="B510" s="55"/>
      <c r="C510" s="55"/>
      <c r="D510" s="55"/>
      <c r="E510" s="55"/>
      <c r="F510" s="56"/>
      <c r="G510" s="57"/>
    </row>
    <row r="511">
      <c r="A511" s="54"/>
      <c r="B511" s="55"/>
      <c r="C511" s="55"/>
      <c r="D511" s="55"/>
      <c r="E511" s="55"/>
      <c r="F511" s="56"/>
      <c r="G511" s="57"/>
    </row>
    <row r="512">
      <c r="A512" s="54"/>
      <c r="B512" s="55"/>
      <c r="C512" s="55"/>
      <c r="D512" s="55"/>
      <c r="E512" s="55"/>
      <c r="F512" s="56"/>
      <c r="G512" s="57"/>
    </row>
    <row r="513">
      <c r="A513" s="54"/>
      <c r="B513" s="55"/>
      <c r="C513" s="55"/>
      <c r="D513" s="55"/>
      <c r="E513" s="55"/>
      <c r="F513" s="56"/>
      <c r="G513" s="57"/>
    </row>
    <row r="514">
      <c r="A514" s="54"/>
      <c r="B514" s="55"/>
      <c r="C514" s="55"/>
      <c r="D514" s="55"/>
      <c r="E514" s="55"/>
      <c r="F514" s="56"/>
      <c r="G514" s="57"/>
    </row>
    <row r="515">
      <c r="A515" s="54"/>
      <c r="B515" s="55"/>
      <c r="C515" s="55"/>
      <c r="D515" s="55"/>
      <c r="E515" s="55"/>
      <c r="F515" s="56"/>
      <c r="G515" s="57"/>
    </row>
    <row r="516">
      <c r="A516" s="54"/>
      <c r="B516" s="55"/>
      <c r="C516" s="55"/>
      <c r="D516" s="55"/>
      <c r="E516" s="55"/>
      <c r="F516" s="56"/>
      <c r="G516" s="57"/>
    </row>
    <row r="517">
      <c r="A517" s="54"/>
      <c r="B517" s="55"/>
      <c r="C517" s="55"/>
      <c r="D517" s="55"/>
      <c r="E517" s="55"/>
      <c r="F517" s="56"/>
      <c r="G517" s="57"/>
    </row>
    <row r="518">
      <c r="A518" s="54"/>
      <c r="B518" s="55"/>
      <c r="C518" s="55"/>
      <c r="D518" s="55"/>
      <c r="E518" s="55"/>
      <c r="F518" s="56"/>
      <c r="G518" s="57"/>
    </row>
    <row r="519">
      <c r="A519" s="54"/>
      <c r="B519" s="55"/>
      <c r="C519" s="55"/>
      <c r="D519" s="55"/>
      <c r="E519" s="55"/>
      <c r="F519" s="56"/>
      <c r="G519" s="57"/>
    </row>
    <row r="520">
      <c r="A520" s="54"/>
      <c r="B520" s="55"/>
      <c r="C520" s="55"/>
      <c r="D520" s="55"/>
      <c r="E520" s="55"/>
      <c r="F520" s="56"/>
      <c r="G520" s="57"/>
    </row>
    <row r="521">
      <c r="A521" s="54"/>
      <c r="B521" s="55"/>
      <c r="C521" s="55"/>
      <c r="D521" s="55"/>
      <c r="E521" s="55"/>
      <c r="F521" s="56"/>
      <c r="G521" s="57"/>
    </row>
    <row r="522">
      <c r="A522" s="54"/>
      <c r="B522" s="55"/>
      <c r="C522" s="55"/>
      <c r="D522" s="55"/>
      <c r="E522" s="55"/>
      <c r="F522" s="56"/>
      <c r="G522" s="57"/>
    </row>
    <row r="523">
      <c r="A523" s="54"/>
      <c r="B523" s="55"/>
      <c r="C523" s="55"/>
      <c r="D523" s="55"/>
      <c r="E523" s="55"/>
      <c r="F523" s="56"/>
      <c r="G523" s="57"/>
    </row>
    <row r="524">
      <c r="A524" s="54"/>
      <c r="B524" s="55"/>
      <c r="C524" s="55"/>
      <c r="D524" s="55"/>
      <c r="E524" s="55"/>
      <c r="F524" s="56"/>
      <c r="G524" s="57"/>
    </row>
    <row r="525">
      <c r="A525" s="54"/>
      <c r="B525" s="55"/>
      <c r="C525" s="55"/>
      <c r="D525" s="55"/>
      <c r="E525" s="55"/>
      <c r="F525" s="56"/>
      <c r="G525" s="57"/>
    </row>
    <row r="526">
      <c r="A526" s="54"/>
      <c r="B526" s="55"/>
      <c r="C526" s="55"/>
      <c r="D526" s="55"/>
      <c r="E526" s="55"/>
      <c r="F526" s="56"/>
      <c r="G526" s="57"/>
    </row>
    <row r="527">
      <c r="A527" s="54"/>
      <c r="B527" s="55"/>
      <c r="C527" s="55"/>
      <c r="D527" s="55"/>
      <c r="E527" s="55"/>
      <c r="F527" s="56"/>
      <c r="G527" s="57"/>
    </row>
    <row r="528">
      <c r="A528" s="54"/>
      <c r="B528" s="55"/>
      <c r="C528" s="55"/>
      <c r="D528" s="55"/>
      <c r="E528" s="55"/>
      <c r="F528" s="56"/>
      <c r="G528" s="57"/>
    </row>
    <row r="529">
      <c r="A529" s="54"/>
      <c r="B529" s="55"/>
      <c r="C529" s="55"/>
      <c r="D529" s="55"/>
      <c r="E529" s="55"/>
      <c r="F529" s="56"/>
      <c r="G529" s="57"/>
    </row>
    <row r="530">
      <c r="A530" s="54"/>
      <c r="B530" s="55"/>
      <c r="C530" s="55"/>
      <c r="D530" s="55"/>
      <c r="E530" s="55"/>
      <c r="F530" s="56"/>
      <c r="G530" s="57"/>
    </row>
    <row r="531">
      <c r="A531" s="54"/>
      <c r="B531" s="55"/>
      <c r="C531" s="55"/>
      <c r="D531" s="55"/>
      <c r="E531" s="55"/>
      <c r="F531" s="56"/>
      <c r="G531" s="57"/>
    </row>
    <row r="532">
      <c r="A532" s="54"/>
      <c r="B532" s="55"/>
      <c r="C532" s="55"/>
      <c r="D532" s="55"/>
      <c r="E532" s="55"/>
      <c r="F532" s="56"/>
      <c r="G532" s="57"/>
    </row>
    <row r="533">
      <c r="A533" s="54"/>
      <c r="B533" s="55"/>
      <c r="C533" s="55"/>
      <c r="D533" s="55"/>
      <c r="E533" s="55"/>
      <c r="F533" s="56"/>
      <c r="G533" s="57"/>
    </row>
    <row r="534">
      <c r="A534" s="54"/>
      <c r="B534" s="55"/>
      <c r="C534" s="55"/>
      <c r="D534" s="55"/>
      <c r="E534" s="55"/>
      <c r="F534" s="56"/>
      <c r="G534" s="57"/>
    </row>
    <row r="535">
      <c r="A535" s="54"/>
      <c r="B535" s="55"/>
      <c r="C535" s="55"/>
      <c r="D535" s="55"/>
      <c r="E535" s="55"/>
      <c r="F535" s="56"/>
      <c r="G535" s="57"/>
    </row>
    <row r="536">
      <c r="A536" s="54"/>
      <c r="B536" s="55"/>
      <c r="C536" s="55"/>
      <c r="D536" s="55"/>
      <c r="E536" s="55"/>
      <c r="F536" s="56"/>
      <c r="G536" s="57"/>
    </row>
    <row r="537">
      <c r="A537" s="54"/>
      <c r="B537" s="55"/>
      <c r="C537" s="55"/>
      <c r="D537" s="55"/>
      <c r="E537" s="55"/>
      <c r="F537" s="56"/>
      <c r="G537" s="57"/>
    </row>
    <row r="538">
      <c r="A538" s="54"/>
      <c r="B538" s="55"/>
      <c r="C538" s="55"/>
      <c r="D538" s="55"/>
      <c r="E538" s="55"/>
      <c r="F538" s="56"/>
      <c r="G538" s="57"/>
    </row>
    <row r="539">
      <c r="A539" s="54"/>
      <c r="B539" s="55"/>
      <c r="C539" s="55"/>
      <c r="D539" s="55"/>
      <c r="E539" s="55"/>
      <c r="F539" s="56"/>
      <c r="G539" s="57"/>
    </row>
    <row r="540">
      <c r="A540" s="54"/>
      <c r="B540" s="55"/>
      <c r="C540" s="55"/>
      <c r="D540" s="55"/>
      <c r="E540" s="55"/>
      <c r="F540" s="56"/>
      <c r="G540" s="57"/>
    </row>
    <row r="541">
      <c r="A541" s="54"/>
      <c r="B541" s="55"/>
      <c r="C541" s="55"/>
      <c r="D541" s="55"/>
      <c r="E541" s="55"/>
      <c r="F541" s="56"/>
      <c r="G541" s="57"/>
    </row>
    <row r="542">
      <c r="A542" s="54"/>
      <c r="B542" s="55"/>
      <c r="C542" s="55"/>
      <c r="D542" s="55"/>
      <c r="E542" s="55"/>
      <c r="F542" s="56"/>
      <c r="G542" s="57"/>
    </row>
    <row r="543">
      <c r="A543" s="54"/>
      <c r="B543" s="55"/>
      <c r="C543" s="55"/>
      <c r="D543" s="55"/>
      <c r="E543" s="55"/>
      <c r="F543" s="56"/>
      <c r="G543" s="57"/>
    </row>
    <row r="544">
      <c r="A544" s="54"/>
      <c r="B544" s="55"/>
      <c r="C544" s="55"/>
      <c r="D544" s="55"/>
      <c r="E544" s="55"/>
      <c r="F544" s="56"/>
      <c r="G544" s="57"/>
    </row>
    <row r="545">
      <c r="A545" s="54"/>
      <c r="B545" s="55"/>
      <c r="C545" s="55"/>
      <c r="D545" s="55"/>
      <c r="E545" s="55"/>
      <c r="F545" s="56"/>
      <c r="G545" s="57"/>
    </row>
    <row r="546">
      <c r="A546" s="54"/>
      <c r="B546" s="55"/>
      <c r="C546" s="55"/>
      <c r="D546" s="55"/>
      <c r="E546" s="55"/>
      <c r="F546" s="56"/>
      <c r="G546" s="57"/>
    </row>
    <row r="547">
      <c r="A547" s="54"/>
      <c r="B547" s="55"/>
      <c r="C547" s="55"/>
      <c r="D547" s="55"/>
      <c r="E547" s="55"/>
      <c r="F547" s="56"/>
      <c r="G547" s="57"/>
    </row>
    <row r="548">
      <c r="A548" s="54"/>
      <c r="B548" s="55"/>
      <c r="C548" s="55"/>
      <c r="D548" s="55"/>
      <c r="E548" s="55"/>
      <c r="F548" s="56"/>
      <c r="G548" s="57"/>
    </row>
    <row r="549">
      <c r="A549" s="54"/>
      <c r="B549" s="55"/>
      <c r="C549" s="55"/>
      <c r="D549" s="55"/>
      <c r="E549" s="55"/>
      <c r="F549" s="56"/>
      <c r="G549" s="57"/>
    </row>
    <row r="550">
      <c r="A550" s="54"/>
      <c r="B550" s="55"/>
      <c r="C550" s="55"/>
      <c r="D550" s="55"/>
      <c r="E550" s="55"/>
      <c r="F550" s="56"/>
      <c r="G550" s="57"/>
    </row>
    <row r="551">
      <c r="A551" s="54"/>
      <c r="B551" s="55"/>
      <c r="C551" s="55"/>
      <c r="D551" s="55"/>
      <c r="E551" s="55"/>
      <c r="F551" s="56"/>
      <c r="G551" s="57"/>
    </row>
    <row r="552">
      <c r="A552" s="54"/>
      <c r="B552" s="55"/>
      <c r="C552" s="55"/>
      <c r="D552" s="55"/>
      <c r="E552" s="55"/>
      <c r="F552" s="56"/>
      <c r="G552" s="57"/>
    </row>
    <row r="553">
      <c r="A553" s="54"/>
      <c r="B553" s="55"/>
      <c r="C553" s="55"/>
      <c r="D553" s="55"/>
      <c r="E553" s="55"/>
      <c r="F553" s="56"/>
      <c r="G553" s="57"/>
    </row>
    <row r="554">
      <c r="A554" s="54"/>
      <c r="B554" s="55"/>
      <c r="C554" s="55"/>
      <c r="D554" s="55"/>
      <c r="E554" s="55"/>
      <c r="F554" s="56"/>
      <c r="G554" s="57"/>
    </row>
    <row r="555">
      <c r="A555" s="54"/>
      <c r="B555" s="55"/>
      <c r="C555" s="55"/>
      <c r="D555" s="55"/>
      <c r="E555" s="55"/>
      <c r="F555" s="56"/>
      <c r="G555" s="57"/>
    </row>
    <row r="556">
      <c r="A556" s="54"/>
      <c r="B556" s="55"/>
      <c r="C556" s="55"/>
      <c r="D556" s="55"/>
      <c r="E556" s="55"/>
      <c r="F556" s="56"/>
      <c r="G556" s="57"/>
    </row>
    <row r="557">
      <c r="A557" s="54"/>
      <c r="B557" s="55"/>
      <c r="C557" s="55"/>
      <c r="D557" s="55"/>
      <c r="E557" s="55"/>
      <c r="F557" s="56"/>
      <c r="G557" s="57"/>
    </row>
    <row r="558">
      <c r="A558" s="54"/>
      <c r="B558" s="55"/>
      <c r="C558" s="55"/>
      <c r="D558" s="55"/>
      <c r="E558" s="55"/>
      <c r="F558" s="56"/>
      <c r="G558" s="57"/>
    </row>
    <row r="559">
      <c r="A559" s="54"/>
      <c r="B559" s="55"/>
      <c r="C559" s="55"/>
      <c r="D559" s="55"/>
      <c r="E559" s="55"/>
      <c r="F559" s="56"/>
      <c r="G559" s="57"/>
    </row>
    <row r="560">
      <c r="A560" s="54"/>
      <c r="B560" s="55"/>
      <c r="C560" s="55"/>
      <c r="D560" s="55"/>
      <c r="E560" s="55"/>
      <c r="F560" s="56"/>
      <c r="G560" s="57"/>
    </row>
    <row r="561">
      <c r="A561" s="54"/>
      <c r="B561" s="55"/>
      <c r="C561" s="55"/>
      <c r="D561" s="55"/>
      <c r="E561" s="55"/>
      <c r="F561" s="56"/>
      <c r="G561" s="57"/>
    </row>
    <row r="562">
      <c r="A562" s="54"/>
      <c r="B562" s="55"/>
      <c r="C562" s="55"/>
      <c r="D562" s="55"/>
      <c r="E562" s="55"/>
      <c r="F562" s="56"/>
      <c r="G562" s="57"/>
    </row>
    <row r="563">
      <c r="A563" s="54"/>
      <c r="B563" s="55"/>
      <c r="C563" s="55"/>
      <c r="D563" s="55"/>
      <c r="E563" s="55"/>
      <c r="F563" s="56"/>
      <c r="G563" s="57"/>
    </row>
    <row r="564">
      <c r="A564" s="54"/>
      <c r="B564" s="55"/>
      <c r="C564" s="55"/>
      <c r="D564" s="55"/>
      <c r="E564" s="55"/>
      <c r="F564" s="56"/>
      <c r="G564" s="57"/>
    </row>
    <row r="565">
      <c r="A565" s="54"/>
      <c r="B565" s="55"/>
      <c r="C565" s="55"/>
      <c r="D565" s="55"/>
      <c r="E565" s="55"/>
      <c r="F565" s="56"/>
      <c r="G565" s="57"/>
    </row>
    <row r="566">
      <c r="A566" s="54"/>
      <c r="B566" s="55"/>
      <c r="C566" s="55"/>
      <c r="D566" s="55"/>
      <c r="E566" s="55"/>
      <c r="F566" s="56"/>
      <c r="G566" s="57"/>
    </row>
    <row r="567">
      <c r="A567" s="54"/>
      <c r="B567" s="55"/>
      <c r="C567" s="55"/>
      <c r="D567" s="55"/>
      <c r="E567" s="55"/>
      <c r="F567" s="56"/>
      <c r="G567" s="57"/>
    </row>
    <row r="568">
      <c r="A568" s="54"/>
      <c r="B568" s="55"/>
      <c r="C568" s="55"/>
      <c r="D568" s="55"/>
      <c r="E568" s="55"/>
      <c r="F568" s="56"/>
      <c r="G568" s="57"/>
    </row>
    <row r="569">
      <c r="A569" s="54"/>
      <c r="B569" s="55"/>
      <c r="C569" s="55"/>
      <c r="D569" s="55"/>
      <c r="E569" s="55"/>
      <c r="F569" s="56"/>
      <c r="G569" s="57"/>
    </row>
    <row r="570">
      <c r="A570" s="54"/>
      <c r="B570" s="55"/>
      <c r="C570" s="55"/>
      <c r="D570" s="55"/>
      <c r="E570" s="55"/>
      <c r="F570" s="56"/>
      <c r="G570" s="57"/>
    </row>
    <row r="571">
      <c r="A571" s="54"/>
      <c r="B571" s="55"/>
      <c r="C571" s="55"/>
      <c r="D571" s="55"/>
      <c r="E571" s="55"/>
      <c r="F571" s="56"/>
      <c r="G571" s="57"/>
    </row>
    <row r="572">
      <c r="A572" s="54"/>
      <c r="B572" s="55"/>
      <c r="C572" s="55"/>
      <c r="D572" s="55"/>
      <c r="E572" s="55"/>
      <c r="F572" s="56"/>
      <c r="G572" s="57"/>
    </row>
    <row r="573">
      <c r="A573" s="54"/>
      <c r="B573" s="55"/>
      <c r="C573" s="55"/>
      <c r="D573" s="55"/>
      <c r="E573" s="55"/>
      <c r="F573" s="56"/>
      <c r="G573" s="57"/>
    </row>
    <row r="574">
      <c r="A574" s="54"/>
      <c r="B574" s="55"/>
      <c r="C574" s="55"/>
      <c r="D574" s="55"/>
      <c r="E574" s="55"/>
      <c r="F574" s="56"/>
      <c r="G574" s="57"/>
    </row>
    <row r="575">
      <c r="A575" s="54"/>
      <c r="B575" s="55"/>
      <c r="C575" s="55"/>
      <c r="D575" s="55"/>
      <c r="E575" s="55"/>
      <c r="F575" s="56"/>
      <c r="G575" s="57"/>
    </row>
    <row r="576">
      <c r="A576" s="54"/>
      <c r="B576" s="55"/>
      <c r="C576" s="55"/>
      <c r="D576" s="55"/>
      <c r="E576" s="55"/>
      <c r="F576" s="56"/>
      <c r="G576" s="57"/>
    </row>
    <row r="577">
      <c r="A577" s="54"/>
      <c r="B577" s="55"/>
      <c r="C577" s="55"/>
      <c r="D577" s="55"/>
      <c r="E577" s="55"/>
      <c r="F577" s="56"/>
      <c r="G577" s="57"/>
    </row>
    <row r="578">
      <c r="A578" s="54"/>
      <c r="B578" s="55"/>
      <c r="C578" s="55"/>
      <c r="D578" s="55"/>
      <c r="E578" s="55"/>
      <c r="F578" s="56"/>
      <c r="G578" s="57"/>
    </row>
    <row r="579">
      <c r="A579" s="54"/>
      <c r="B579" s="55"/>
      <c r="C579" s="55"/>
      <c r="D579" s="55"/>
      <c r="E579" s="55"/>
      <c r="F579" s="56"/>
      <c r="G579" s="57"/>
    </row>
    <row r="580">
      <c r="A580" s="54"/>
      <c r="B580" s="55"/>
      <c r="C580" s="55"/>
      <c r="D580" s="55"/>
      <c r="E580" s="55"/>
      <c r="F580" s="56"/>
      <c r="G580" s="57"/>
    </row>
    <row r="581">
      <c r="A581" s="54"/>
      <c r="B581" s="55"/>
      <c r="C581" s="55"/>
      <c r="D581" s="55"/>
      <c r="E581" s="55"/>
      <c r="F581" s="56"/>
      <c r="G581" s="57"/>
    </row>
    <row r="582">
      <c r="A582" s="54"/>
      <c r="B582" s="55"/>
      <c r="C582" s="55"/>
      <c r="D582" s="55"/>
      <c r="E582" s="55"/>
      <c r="F582" s="56"/>
      <c r="G582" s="57"/>
    </row>
    <row r="583">
      <c r="A583" s="54"/>
      <c r="B583" s="55"/>
      <c r="C583" s="55"/>
      <c r="D583" s="55"/>
      <c r="E583" s="55"/>
      <c r="F583" s="56"/>
      <c r="G583" s="57"/>
    </row>
    <row r="584">
      <c r="A584" s="54"/>
      <c r="B584" s="55"/>
      <c r="C584" s="55"/>
      <c r="D584" s="55"/>
      <c r="E584" s="55"/>
      <c r="F584" s="56"/>
      <c r="G584" s="57"/>
    </row>
    <row r="585">
      <c r="A585" s="54"/>
      <c r="B585" s="55"/>
      <c r="C585" s="55"/>
      <c r="D585" s="55"/>
      <c r="E585" s="55"/>
      <c r="F585" s="56"/>
      <c r="G585" s="57"/>
    </row>
    <row r="586">
      <c r="A586" s="54"/>
      <c r="B586" s="55"/>
      <c r="C586" s="55"/>
      <c r="D586" s="55"/>
      <c r="E586" s="55"/>
      <c r="F586" s="56"/>
      <c r="G586" s="57"/>
    </row>
    <row r="587">
      <c r="A587" s="54"/>
      <c r="B587" s="55"/>
      <c r="C587" s="55"/>
      <c r="D587" s="55"/>
      <c r="E587" s="55"/>
      <c r="F587" s="56"/>
      <c r="G587" s="57"/>
    </row>
    <row r="588">
      <c r="A588" s="54"/>
      <c r="B588" s="55"/>
      <c r="C588" s="55"/>
      <c r="D588" s="55"/>
      <c r="E588" s="55"/>
      <c r="F588" s="56"/>
      <c r="G588" s="57"/>
    </row>
    <row r="589">
      <c r="A589" s="54"/>
      <c r="B589" s="55"/>
      <c r="C589" s="55"/>
      <c r="D589" s="55"/>
      <c r="E589" s="55"/>
      <c r="F589" s="56"/>
      <c r="G589" s="57"/>
    </row>
    <row r="590">
      <c r="A590" s="54"/>
      <c r="B590" s="55"/>
      <c r="C590" s="55"/>
      <c r="D590" s="55"/>
      <c r="E590" s="55"/>
      <c r="F590" s="56"/>
      <c r="G590" s="57"/>
    </row>
    <row r="591">
      <c r="A591" s="54"/>
      <c r="B591" s="55"/>
      <c r="C591" s="55"/>
      <c r="D591" s="55"/>
      <c r="E591" s="55"/>
      <c r="F591" s="56"/>
      <c r="G591" s="57"/>
    </row>
    <row r="592">
      <c r="A592" s="54"/>
      <c r="B592" s="55"/>
      <c r="C592" s="55"/>
      <c r="D592" s="55"/>
      <c r="E592" s="55"/>
      <c r="F592" s="56"/>
      <c r="G592" s="57"/>
    </row>
    <row r="593">
      <c r="A593" s="54"/>
      <c r="B593" s="55"/>
      <c r="C593" s="55"/>
      <c r="D593" s="55"/>
      <c r="E593" s="55"/>
      <c r="F593" s="56"/>
      <c r="G593" s="57"/>
    </row>
    <row r="594">
      <c r="A594" s="54"/>
      <c r="B594" s="55"/>
      <c r="C594" s="55"/>
      <c r="D594" s="55"/>
      <c r="E594" s="55"/>
      <c r="F594" s="56"/>
      <c r="G594" s="57"/>
    </row>
    <row r="595">
      <c r="A595" s="54"/>
      <c r="B595" s="55"/>
      <c r="C595" s="55"/>
      <c r="D595" s="55"/>
      <c r="E595" s="55"/>
      <c r="F595" s="56"/>
      <c r="G595" s="57"/>
    </row>
    <row r="596">
      <c r="A596" s="54"/>
      <c r="B596" s="55"/>
      <c r="C596" s="55"/>
      <c r="D596" s="55"/>
      <c r="E596" s="55"/>
      <c r="F596" s="56"/>
      <c r="G596" s="57"/>
    </row>
    <row r="597">
      <c r="A597" s="54"/>
      <c r="B597" s="55"/>
      <c r="C597" s="55"/>
      <c r="D597" s="55"/>
      <c r="E597" s="55"/>
      <c r="F597" s="56"/>
      <c r="G597" s="57"/>
    </row>
    <row r="598">
      <c r="A598" s="54"/>
      <c r="B598" s="55"/>
      <c r="C598" s="55"/>
      <c r="D598" s="55"/>
      <c r="E598" s="55"/>
      <c r="F598" s="56"/>
      <c r="G598" s="57"/>
    </row>
    <row r="599">
      <c r="A599" s="54"/>
      <c r="B599" s="55"/>
      <c r="C599" s="55"/>
      <c r="D599" s="55"/>
      <c r="E599" s="55"/>
      <c r="F599" s="56"/>
      <c r="G599" s="57"/>
    </row>
    <row r="600">
      <c r="A600" s="54"/>
      <c r="B600" s="55"/>
      <c r="C600" s="55"/>
      <c r="D600" s="55"/>
      <c r="E600" s="55"/>
      <c r="F600" s="56"/>
      <c r="G600" s="57"/>
    </row>
    <row r="601">
      <c r="A601" s="54"/>
      <c r="B601" s="55"/>
      <c r="C601" s="55"/>
      <c r="D601" s="55"/>
      <c r="E601" s="55"/>
      <c r="F601" s="56"/>
      <c r="G601" s="57"/>
    </row>
    <row r="602">
      <c r="A602" s="54"/>
      <c r="B602" s="55"/>
      <c r="C602" s="55"/>
      <c r="D602" s="55"/>
      <c r="E602" s="55"/>
      <c r="F602" s="56"/>
      <c r="G602" s="57"/>
    </row>
    <row r="603">
      <c r="A603" s="54"/>
      <c r="B603" s="55"/>
      <c r="C603" s="55"/>
      <c r="D603" s="55"/>
      <c r="E603" s="55"/>
      <c r="F603" s="56"/>
      <c r="G603" s="57"/>
    </row>
    <row r="604">
      <c r="A604" s="54"/>
      <c r="B604" s="55"/>
      <c r="C604" s="55"/>
      <c r="D604" s="55"/>
      <c r="E604" s="55"/>
      <c r="F604" s="56"/>
      <c r="G604" s="57"/>
    </row>
    <row r="605">
      <c r="A605" s="54"/>
      <c r="B605" s="55"/>
      <c r="C605" s="55"/>
      <c r="D605" s="55"/>
      <c r="E605" s="55"/>
      <c r="F605" s="56"/>
      <c r="G605" s="57"/>
    </row>
    <row r="606">
      <c r="A606" s="54"/>
      <c r="B606" s="55"/>
      <c r="C606" s="55"/>
      <c r="D606" s="55"/>
      <c r="E606" s="55"/>
      <c r="F606" s="56"/>
      <c r="G606" s="57"/>
    </row>
    <row r="607">
      <c r="A607" s="54"/>
      <c r="B607" s="55"/>
      <c r="C607" s="55"/>
      <c r="D607" s="55"/>
      <c r="E607" s="55"/>
      <c r="F607" s="56"/>
      <c r="G607" s="57"/>
    </row>
    <row r="608">
      <c r="A608" s="54"/>
      <c r="B608" s="55"/>
      <c r="C608" s="55"/>
      <c r="D608" s="55"/>
      <c r="E608" s="55"/>
      <c r="F608" s="56"/>
      <c r="G608" s="57"/>
    </row>
    <row r="609">
      <c r="A609" s="54"/>
      <c r="B609" s="55"/>
      <c r="C609" s="55"/>
      <c r="D609" s="55"/>
      <c r="E609" s="55"/>
      <c r="F609" s="56"/>
      <c r="G609" s="57"/>
    </row>
    <row r="610">
      <c r="A610" s="54"/>
      <c r="B610" s="55"/>
      <c r="C610" s="55"/>
      <c r="D610" s="55"/>
      <c r="E610" s="55"/>
      <c r="F610" s="56"/>
      <c r="G610" s="57"/>
    </row>
    <row r="611">
      <c r="A611" s="54"/>
      <c r="B611" s="55"/>
      <c r="C611" s="55"/>
      <c r="D611" s="55"/>
      <c r="E611" s="55"/>
      <c r="F611" s="56"/>
      <c r="G611" s="57"/>
    </row>
    <row r="612">
      <c r="A612" s="54"/>
      <c r="B612" s="55"/>
      <c r="C612" s="55"/>
      <c r="D612" s="55"/>
      <c r="E612" s="55"/>
      <c r="F612" s="56"/>
      <c r="G612" s="57"/>
    </row>
    <row r="613">
      <c r="A613" s="54"/>
      <c r="B613" s="55"/>
      <c r="C613" s="55"/>
      <c r="D613" s="55"/>
      <c r="E613" s="55"/>
      <c r="F613" s="56"/>
      <c r="G613" s="57"/>
    </row>
    <row r="614">
      <c r="A614" s="54"/>
      <c r="B614" s="55"/>
      <c r="C614" s="55"/>
      <c r="D614" s="55"/>
      <c r="E614" s="55"/>
      <c r="F614" s="56"/>
      <c r="G614" s="57"/>
    </row>
    <row r="615">
      <c r="A615" s="54"/>
      <c r="B615" s="55"/>
      <c r="C615" s="55"/>
      <c r="D615" s="55"/>
      <c r="E615" s="55"/>
      <c r="F615" s="56"/>
      <c r="G615" s="57"/>
    </row>
    <row r="616">
      <c r="A616" s="54"/>
      <c r="B616" s="55"/>
      <c r="C616" s="55"/>
      <c r="D616" s="55"/>
      <c r="E616" s="55"/>
      <c r="F616" s="56"/>
      <c r="G616" s="57"/>
    </row>
    <row r="617">
      <c r="A617" s="54"/>
      <c r="B617" s="55"/>
      <c r="C617" s="55"/>
      <c r="D617" s="55"/>
      <c r="E617" s="55"/>
      <c r="F617" s="56"/>
      <c r="G617" s="57"/>
    </row>
    <row r="618">
      <c r="A618" s="54"/>
      <c r="B618" s="55"/>
      <c r="C618" s="55"/>
      <c r="D618" s="55"/>
      <c r="E618" s="55"/>
      <c r="F618" s="56"/>
      <c r="G618" s="57"/>
    </row>
    <row r="619">
      <c r="A619" s="54"/>
      <c r="B619" s="55"/>
      <c r="C619" s="55"/>
      <c r="D619" s="55"/>
      <c r="E619" s="55"/>
      <c r="F619" s="56"/>
      <c r="G619" s="57"/>
    </row>
    <row r="620">
      <c r="A620" s="54"/>
      <c r="B620" s="55"/>
      <c r="C620" s="55"/>
      <c r="D620" s="55"/>
      <c r="E620" s="55"/>
      <c r="F620" s="56"/>
      <c r="G620" s="57"/>
    </row>
    <row r="621">
      <c r="A621" s="54"/>
      <c r="B621" s="55"/>
      <c r="C621" s="55"/>
      <c r="D621" s="55"/>
      <c r="E621" s="55"/>
      <c r="F621" s="56"/>
      <c r="G621" s="57"/>
    </row>
    <row r="622">
      <c r="A622" s="54"/>
      <c r="B622" s="55"/>
      <c r="C622" s="55"/>
      <c r="D622" s="55"/>
      <c r="E622" s="55"/>
      <c r="F622" s="56"/>
      <c r="G622" s="57"/>
    </row>
    <row r="623">
      <c r="A623" s="54"/>
      <c r="B623" s="55"/>
      <c r="C623" s="55"/>
      <c r="D623" s="55"/>
      <c r="E623" s="55"/>
      <c r="F623" s="56"/>
      <c r="G623" s="57"/>
    </row>
    <row r="624">
      <c r="A624" s="54"/>
      <c r="B624" s="55"/>
      <c r="C624" s="55"/>
      <c r="D624" s="55"/>
      <c r="E624" s="55"/>
      <c r="F624" s="56"/>
      <c r="G624" s="57"/>
    </row>
    <row r="625">
      <c r="A625" s="54"/>
      <c r="B625" s="55"/>
      <c r="C625" s="55"/>
      <c r="D625" s="55"/>
      <c r="E625" s="55"/>
      <c r="F625" s="56"/>
      <c r="G625" s="57"/>
    </row>
    <row r="626">
      <c r="A626" s="54"/>
      <c r="B626" s="55"/>
      <c r="C626" s="55"/>
      <c r="D626" s="55"/>
      <c r="E626" s="55"/>
      <c r="F626" s="56"/>
      <c r="G626" s="57"/>
    </row>
    <row r="627">
      <c r="A627" s="54"/>
      <c r="B627" s="55"/>
      <c r="C627" s="55"/>
      <c r="D627" s="55"/>
      <c r="E627" s="55"/>
      <c r="F627" s="56"/>
      <c r="G627" s="57"/>
    </row>
    <row r="628">
      <c r="A628" s="54"/>
      <c r="B628" s="55"/>
      <c r="C628" s="55"/>
      <c r="D628" s="55"/>
      <c r="E628" s="55"/>
      <c r="F628" s="56"/>
      <c r="G628" s="57"/>
    </row>
    <row r="629">
      <c r="A629" s="54"/>
      <c r="B629" s="55"/>
      <c r="C629" s="55"/>
      <c r="D629" s="55"/>
      <c r="E629" s="55"/>
      <c r="F629" s="56"/>
      <c r="G629" s="57"/>
    </row>
    <row r="630">
      <c r="A630" s="54"/>
      <c r="B630" s="55"/>
      <c r="C630" s="55"/>
      <c r="D630" s="55"/>
      <c r="E630" s="55"/>
      <c r="F630" s="56"/>
      <c r="G630" s="57"/>
    </row>
    <row r="631">
      <c r="A631" s="54"/>
      <c r="B631" s="55"/>
      <c r="C631" s="55"/>
      <c r="D631" s="55"/>
      <c r="E631" s="55"/>
      <c r="F631" s="56"/>
      <c r="G631" s="57"/>
    </row>
    <row r="632">
      <c r="A632" s="54"/>
      <c r="B632" s="55"/>
      <c r="C632" s="55"/>
      <c r="D632" s="55"/>
      <c r="E632" s="55"/>
      <c r="F632" s="56"/>
      <c r="G632" s="57"/>
    </row>
    <row r="633">
      <c r="A633" s="54"/>
      <c r="B633" s="55"/>
      <c r="C633" s="55"/>
      <c r="D633" s="55"/>
      <c r="E633" s="55"/>
      <c r="F633" s="56"/>
      <c r="G633" s="57"/>
    </row>
    <row r="634">
      <c r="A634" s="54"/>
      <c r="B634" s="55"/>
      <c r="C634" s="55"/>
      <c r="D634" s="55"/>
      <c r="E634" s="55"/>
      <c r="F634" s="56"/>
      <c r="G634" s="57"/>
    </row>
    <row r="635">
      <c r="A635" s="54"/>
      <c r="B635" s="55"/>
      <c r="C635" s="55"/>
      <c r="D635" s="55"/>
      <c r="E635" s="55"/>
      <c r="F635" s="56"/>
      <c r="G635" s="57"/>
    </row>
    <row r="636">
      <c r="A636" s="54"/>
      <c r="B636" s="55"/>
      <c r="C636" s="55"/>
      <c r="D636" s="55"/>
      <c r="E636" s="55"/>
      <c r="F636" s="56"/>
      <c r="G636" s="57"/>
    </row>
    <row r="637">
      <c r="A637" s="54"/>
      <c r="B637" s="55"/>
      <c r="C637" s="55"/>
      <c r="D637" s="55"/>
      <c r="E637" s="55"/>
      <c r="F637" s="56"/>
      <c r="G637" s="57"/>
    </row>
    <row r="638">
      <c r="A638" s="54"/>
      <c r="B638" s="55"/>
      <c r="C638" s="55"/>
      <c r="D638" s="55"/>
      <c r="E638" s="55"/>
      <c r="F638" s="56"/>
      <c r="G638" s="57"/>
    </row>
    <row r="639">
      <c r="A639" s="54"/>
      <c r="B639" s="55"/>
      <c r="C639" s="55"/>
      <c r="D639" s="55"/>
      <c r="E639" s="55"/>
      <c r="F639" s="56"/>
      <c r="G639" s="57"/>
    </row>
    <row r="640">
      <c r="A640" s="54"/>
      <c r="B640" s="55"/>
      <c r="C640" s="55"/>
      <c r="D640" s="55"/>
      <c r="E640" s="55"/>
      <c r="F640" s="56"/>
      <c r="G640" s="57"/>
    </row>
    <row r="641">
      <c r="A641" s="54"/>
      <c r="B641" s="55"/>
      <c r="C641" s="55"/>
      <c r="D641" s="55"/>
      <c r="E641" s="55"/>
      <c r="F641" s="56"/>
      <c r="G641" s="57"/>
    </row>
    <row r="642">
      <c r="A642" s="54"/>
      <c r="B642" s="55"/>
      <c r="C642" s="55"/>
      <c r="D642" s="55"/>
      <c r="E642" s="55"/>
      <c r="F642" s="56"/>
      <c r="G642" s="57"/>
    </row>
    <row r="643">
      <c r="A643" s="54"/>
      <c r="B643" s="55"/>
      <c r="C643" s="55"/>
      <c r="D643" s="55"/>
      <c r="E643" s="55"/>
      <c r="F643" s="56"/>
      <c r="G643" s="57"/>
    </row>
    <row r="644">
      <c r="A644" s="54"/>
      <c r="B644" s="55"/>
      <c r="C644" s="55"/>
      <c r="D644" s="55"/>
      <c r="E644" s="55"/>
      <c r="F644" s="56"/>
      <c r="G644" s="57"/>
    </row>
    <row r="645">
      <c r="A645" s="54"/>
      <c r="B645" s="55"/>
      <c r="C645" s="55"/>
      <c r="D645" s="55"/>
      <c r="E645" s="55"/>
      <c r="F645" s="56"/>
      <c r="G645" s="57"/>
    </row>
    <row r="646">
      <c r="A646" s="54"/>
      <c r="B646" s="55"/>
      <c r="C646" s="55"/>
      <c r="D646" s="55"/>
      <c r="E646" s="55"/>
      <c r="F646" s="56"/>
      <c r="G646" s="57"/>
    </row>
    <row r="647">
      <c r="A647" s="54"/>
      <c r="B647" s="55"/>
      <c r="C647" s="55"/>
      <c r="D647" s="55"/>
      <c r="E647" s="55"/>
      <c r="F647" s="56"/>
      <c r="G647" s="57"/>
    </row>
    <row r="648">
      <c r="A648" s="54"/>
      <c r="B648" s="55"/>
      <c r="C648" s="55"/>
      <c r="D648" s="55"/>
      <c r="E648" s="55"/>
      <c r="F648" s="56"/>
      <c r="G648" s="57"/>
    </row>
    <row r="649">
      <c r="A649" s="54"/>
      <c r="B649" s="55"/>
      <c r="C649" s="55"/>
      <c r="D649" s="55"/>
      <c r="E649" s="55"/>
      <c r="F649" s="56"/>
      <c r="G649" s="57"/>
    </row>
    <row r="650">
      <c r="A650" s="54"/>
      <c r="B650" s="55"/>
      <c r="C650" s="55"/>
      <c r="D650" s="55"/>
      <c r="E650" s="55"/>
      <c r="F650" s="56"/>
      <c r="G650" s="57"/>
    </row>
    <row r="651">
      <c r="A651" s="54"/>
      <c r="B651" s="55"/>
      <c r="C651" s="55"/>
      <c r="D651" s="55"/>
      <c r="E651" s="55"/>
      <c r="F651" s="56"/>
      <c r="G651" s="57"/>
    </row>
    <row r="652">
      <c r="A652" s="54"/>
      <c r="B652" s="55"/>
      <c r="C652" s="55"/>
      <c r="D652" s="55"/>
      <c r="E652" s="55"/>
      <c r="F652" s="56"/>
      <c r="G652" s="57"/>
    </row>
    <row r="653">
      <c r="A653" s="54"/>
      <c r="B653" s="55"/>
      <c r="C653" s="55"/>
      <c r="D653" s="55"/>
      <c r="E653" s="55"/>
      <c r="F653" s="56"/>
      <c r="G653" s="57"/>
    </row>
    <row r="654">
      <c r="A654" s="54"/>
      <c r="B654" s="55"/>
      <c r="C654" s="55"/>
      <c r="D654" s="55"/>
      <c r="E654" s="55"/>
      <c r="F654" s="56"/>
      <c r="G654" s="57"/>
    </row>
    <row r="655">
      <c r="A655" s="54"/>
      <c r="B655" s="55"/>
      <c r="C655" s="55"/>
      <c r="D655" s="55"/>
      <c r="E655" s="55"/>
      <c r="F655" s="56"/>
      <c r="G655" s="57"/>
    </row>
    <row r="656">
      <c r="A656" s="54"/>
      <c r="B656" s="55"/>
      <c r="C656" s="55"/>
      <c r="D656" s="55"/>
      <c r="E656" s="55"/>
      <c r="F656" s="56"/>
      <c r="G656" s="57"/>
    </row>
    <row r="657">
      <c r="A657" s="54"/>
      <c r="B657" s="55"/>
      <c r="C657" s="55"/>
      <c r="D657" s="55"/>
      <c r="E657" s="55"/>
      <c r="F657" s="56"/>
      <c r="G657" s="57"/>
    </row>
    <row r="658">
      <c r="A658" s="54"/>
      <c r="B658" s="55"/>
      <c r="C658" s="55"/>
      <c r="D658" s="55"/>
      <c r="E658" s="55"/>
      <c r="F658" s="56"/>
      <c r="G658" s="57"/>
    </row>
    <row r="659">
      <c r="A659" s="54"/>
      <c r="B659" s="55"/>
      <c r="C659" s="55"/>
      <c r="D659" s="55"/>
      <c r="E659" s="55"/>
      <c r="F659" s="56"/>
      <c r="G659" s="57"/>
    </row>
    <row r="660">
      <c r="A660" s="54"/>
      <c r="B660" s="55"/>
      <c r="C660" s="55"/>
      <c r="D660" s="55"/>
      <c r="E660" s="55"/>
      <c r="F660" s="56"/>
      <c r="G660" s="57"/>
    </row>
    <row r="661">
      <c r="A661" s="54"/>
      <c r="B661" s="55"/>
      <c r="C661" s="55"/>
      <c r="D661" s="55"/>
      <c r="E661" s="55"/>
      <c r="F661" s="56"/>
      <c r="G661" s="57"/>
    </row>
    <row r="662">
      <c r="A662" s="54"/>
      <c r="B662" s="55"/>
      <c r="C662" s="55"/>
      <c r="D662" s="55"/>
      <c r="E662" s="55"/>
      <c r="F662" s="56"/>
      <c r="G662" s="57"/>
    </row>
    <row r="663">
      <c r="A663" s="54"/>
      <c r="B663" s="55"/>
      <c r="C663" s="55"/>
      <c r="D663" s="55"/>
      <c r="E663" s="55"/>
      <c r="F663" s="56"/>
      <c r="G663" s="57"/>
    </row>
    <row r="664">
      <c r="A664" s="54"/>
      <c r="B664" s="55"/>
      <c r="C664" s="55"/>
      <c r="D664" s="55"/>
      <c r="E664" s="55"/>
      <c r="F664" s="56"/>
      <c r="G664" s="57"/>
    </row>
    <row r="665">
      <c r="A665" s="54"/>
      <c r="B665" s="55"/>
      <c r="C665" s="55"/>
      <c r="D665" s="55"/>
      <c r="E665" s="55"/>
      <c r="F665" s="56"/>
      <c r="G665" s="57"/>
    </row>
    <row r="666">
      <c r="A666" s="54"/>
      <c r="B666" s="55"/>
      <c r="C666" s="55"/>
      <c r="D666" s="55"/>
      <c r="E666" s="55"/>
      <c r="F666" s="56"/>
      <c r="G666" s="57"/>
    </row>
    <row r="667">
      <c r="A667" s="54"/>
      <c r="B667" s="55"/>
      <c r="C667" s="55"/>
      <c r="D667" s="55"/>
      <c r="E667" s="55"/>
      <c r="F667" s="56"/>
      <c r="G667" s="57"/>
    </row>
    <row r="668">
      <c r="A668" s="54"/>
      <c r="B668" s="55"/>
      <c r="C668" s="55"/>
      <c r="D668" s="55"/>
      <c r="E668" s="55"/>
      <c r="F668" s="56"/>
      <c r="G668" s="57"/>
    </row>
    <row r="669">
      <c r="A669" s="54"/>
      <c r="B669" s="55"/>
      <c r="C669" s="55"/>
      <c r="D669" s="55"/>
      <c r="E669" s="55"/>
      <c r="F669" s="56"/>
      <c r="G669" s="57"/>
    </row>
    <row r="670">
      <c r="A670" s="54"/>
      <c r="B670" s="55"/>
      <c r="C670" s="55"/>
      <c r="D670" s="55"/>
      <c r="E670" s="55"/>
      <c r="F670" s="56"/>
      <c r="G670" s="57"/>
    </row>
    <row r="671">
      <c r="A671" s="54"/>
      <c r="B671" s="55"/>
      <c r="C671" s="55"/>
      <c r="D671" s="55"/>
      <c r="E671" s="55"/>
      <c r="F671" s="56"/>
      <c r="G671" s="57"/>
    </row>
    <row r="672">
      <c r="A672" s="54"/>
      <c r="B672" s="55"/>
      <c r="C672" s="55"/>
      <c r="D672" s="55"/>
      <c r="E672" s="55"/>
      <c r="F672" s="56"/>
      <c r="G672" s="57"/>
    </row>
    <row r="673">
      <c r="A673" s="54"/>
      <c r="B673" s="55"/>
      <c r="C673" s="55"/>
      <c r="D673" s="55"/>
      <c r="E673" s="55"/>
      <c r="F673" s="56"/>
      <c r="G673" s="57"/>
    </row>
    <row r="674">
      <c r="A674" s="54"/>
      <c r="B674" s="55"/>
      <c r="C674" s="55"/>
      <c r="D674" s="55"/>
      <c r="E674" s="55"/>
      <c r="F674" s="56"/>
      <c r="G674" s="57"/>
    </row>
    <row r="675">
      <c r="A675" s="54"/>
      <c r="B675" s="55"/>
      <c r="C675" s="55"/>
      <c r="D675" s="55"/>
      <c r="E675" s="55"/>
      <c r="F675" s="56"/>
      <c r="G675" s="57"/>
    </row>
    <row r="676">
      <c r="A676" s="54"/>
      <c r="B676" s="55"/>
      <c r="C676" s="55"/>
      <c r="D676" s="55"/>
      <c r="E676" s="55"/>
      <c r="F676" s="56"/>
      <c r="G676" s="57"/>
    </row>
    <row r="677">
      <c r="A677" s="54"/>
      <c r="B677" s="55"/>
      <c r="C677" s="55"/>
      <c r="D677" s="55"/>
      <c r="E677" s="55"/>
      <c r="F677" s="56"/>
      <c r="G677" s="57"/>
    </row>
    <row r="678">
      <c r="A678" s="54"/>
      <c r="B678" s="55"/>
      <c r="C678" s="55"/>
      <c r="D678" s="55"/>
      <c r="E678" s="55"/>
      <c r="F678" s="56"/>
      <c r="G678" s="57"/>
    </row>
    <row r="679">
      <c r="A679" s="54"/>
      <c r="B679" s="55"/>
      <c r="C679" s="55"/>
      <c r="D679" s="55"/>
      <c r="E679" s="55"/>
      <c r="F679" s="56"/>
      <c r="G679" s="57"/>
    </row>
    <row r="680">
      <c r="A680" s="54"/>
      <c r="B680" s="55"/>
      <c r="C680" s="55"/>
      <c r="D680" s="55"/>
      <c r="E680" s="55"/>
      <c r="F680" s="56"/>
      <c r="G680" s="57"/>
    </row>
    <row r="681">
      <c r="A681" s="54"/>
      <c r="B681" s="55"/>
      <c r="C681" s="55"/>
      <c r="D681" s="55"/>
      <c r="E681" s="55"/>
      <c r="F681" s="56"/>
      <c r="G681" s="57"/>
    </row>
    <row r="682">
      <c r="A682" s="54"/>
      <c r="B682" s="55"/>
      <c r="C682" s="55"/>
      <c r="D682" s="55"/>
      <c r="E682" s="55"/>
      <c r="F682" s="56"/>
      <c r="G682" s="57"/>
    </row>
    <row r="683">
      <c r="A683" s="54"/>
      <c r="B683" s="55"/>
      <c r="C683" s="55"/>
      <c r="D683" s="55"/>
      <c r="E683" s="55"/>
      <c r="F683" s="56"/>
      <c r="G683" s="57"/>
    </row>
    <row r="684">
      <c r="A684" s="54"/>
      <c r="B684" s="55"/>
      <c r="C684" s="55"/>
      <c r="D684" s="55"/>
      <c r="E684" s="55"/>
      <c r="F684" s="56"/>
      <c r="G684" s="57"/>
    </row>
    <row r="685">
      <c r="A685" s="54"/>
      <c r="B685" s="55"/>
      <c r="C685" s="55"/>
      <c r="D685" s="55"/>
      <c r="E685" s="55"/>
      <c r="F685" s="56"/>
      <c r="G685" s="57"/>
    </row>
    <row r="686">
      <c r="A686" s="54"/>
      <c r="B686" s="55"/>
      <c r="C686" s="55"/>
      <c r="D686" s="55"/>
      <c r="E686" s="55"/>
      <c r="F686" s="56"/>
      <c r="G686" s="57"/>
    </row>
    <row r="687">
      <c r="A687" s="54"/>
      <c r="B687" s="55"/>
      <c r="C687" s="55"/>
      <c r="D687" s="55"/>
      <c r="E687" s="55"/>
      <c r="F687" s="56"/>
      <c r="G687" s="57"/>
    </row>
    <row r="688">
      <c r="A688" s="54"/>
      <c r="B688" s="55"/>
      <c r="C688" s="55"/>
      <c r="D688" s="55"/>
      <c r="E688" s="55"/>
      <c r="F688" s="56"/>
      <c r="G688" s="57"/>
    </row>
    <row r="689">
      <c r="A689" s="54"/>
      <c r="B689" s="55"/>
      <c r="C689" s="55"/>
      <c r="D689" s="55"/>
      <c r="E689" s="55"/>
      <c r="F689" s="56"/>
      <c r="G689" s="57"/>
    </row>
    <row r="690">
      <c r="A690" s="54"/>
      <c r="B690" s="55"/>
      <c r="C690" s="55"/>
      <c r="D690" s="55"/>
      <c r="E690" s="55"/>
      <c r="F690" s="56"/>
      <c r="G690" s="57"/>
    </row>
    <row r="691">
      <c r="A691" s="54"/>
      <c r="B691" s="55"/>
      <c r="C691" s="55"/>
      <c r="D691" s="55"/>
      <c r="E691" s="55"/>
      <c r="F691" s="56"/>
      <c r="G691" s="57"/>
    </row>
    <row r="692">
      <c r="A692" s="54"/>
      <c r="B692" s="55"/>
      <c r="C692" s="55"/>
      <c r="D692" s="55"/>
      <c r="E692" s="55"/>
      <c r="F692" s="56"/>
      <c r="G692" s="57"/>
    </row>
    <row r="693">
      <c r="A693" s="54"/>
      <c r="B693" s="55"/>
      <c r="C693" s="55"/>
      <c r="D693" s="55"/>
      <c r="E693" s="55"/>
      <c r="F693" s="56"/>
      <c r="G693" s="57"/>
    </row>
    <row r="694">
      <c r="A694" s="54"/>
      <c r="B694" s="55"/>
      <c r="C694" s="55"/>
      <c r="D694" s="55"/>
      <c r="E694" s="55"/>
      <c r="F694" s="56"/>
      <c r="G694" s="57"/>
    </row>
    <row r="695">
      <c r="A695" s="54"/>
      <c r="B695" s="55"/>
      <c r="C695" s="55"/>
      <c r="D695" s="55"/>
      <c r="E695" s="55"/>
      <c r="F695" s="56"/>
      <c r="G695" s="57"/>
    </row>
    <row r="696">
      <c r="A696" s="54"/>
      <c r="B696" s="55"/>
      <c r="C696" s="55"/>
      <c r="D696" s="55"/>
      <c r="E696" s="55"/>
      <c r="F696" s="56"/>
      <c r="G696" s="57"/>
    </row>
    <row r="697">
      <c r="A697" s="54"/>
      <c r="B697" s="55"/>
      <c r="C697" s="55"/>
      <c r="D697" s="55"/>
      <c r="E697" s="55"/>
      <c r="F697" s="56"/>
      <c r="G697" s="57"/>
    </row>
    <row r="698">
      <c r="A698" s="54"/>
      <c r="B698" s="55"/>
      <c r="C698" s="55"/>
      <c r="D698" s="55"/>
      <c r="E698" s="55"/>
      <c r="F698" s="56"/>
      <c r="G698" s="57"/>
    </row>
    <row r="699">
      <c r="A699" s="54"/>
      <c r="B699" s="55"/>
      <c r="C699" s="55"/>
      <c r="D699" s="55"/>
      <c r="E699" s="55"/>
      <c r="F699" s="56"/>
      <c r="G699" s="57"/>
    </row>
    <row r="700">
      <c r="A700" s="54"/>
      <c r="B700" s="55"/>
      <c r="C700" s="55"/>
      <c r="D700" s="55"/>
      <c r="E700" s="55"/>
      <c r="F700" s="56"/>
      <c r="G700" s="57"/>
    </row>
    <row r="701">
      <c r="A701" s="54"/>
      <c r="B701" s="55"/>
      <c r="C701" s="55"/>
      <c r="D701" s="55"/>
      <c r="E701" s="55"/>
      <c r="F701" s="56"/>
      <c r="G701" s="57"/>
    </row>
    <row r="702">
      <c r="A702" s="54"/>
      <c r="B702" s="55"/>
      <c r="C702" s="55"/>
      <c r="D702" s="55"/>
      <c r="E702" s="55"/>
      <c r="F702" s="56"/>
      <c r="G702" s="57"/>
    </row>
    <row r="703">
      <c r="A703" s="54"/>
      <c r="B703" s="55"/>
      <c r="C703" s="55"/>
      <c r="D703" s="55"/>
      <c r="E703" s="55"/>
      <c r="F703" s="56"/>
      <c r="G703" s="57"/>
    </row>
    <row r="704">
      <c r="A704" s="54"/>
      <c r="B704" s="55"/>
      <c r="C704" s="55"/>
      <c r="D704" s="55"/>
      <c r="E704" s="55"/>
      <c r="F704" s="56"/>
      <c r="G704" s="57"/>
    </row>
    <row r="705">
      <c r="A705" s="54"/>
      <c r="B705" s="55"/>
      <c r="C705" s="55"/>
      <c r="D705" s="55"/>
      <c r="E705" s="55"/>
      <c r="F705" s="56"/>
      <c r="G705" s="57"/>
    </row>
    <row r="706">
      <c r="A706" s="54"/>
      <c r="B706" s="55"/>
      <c r="C706" s="55"/>
      <c r="D706" s="55"/>
      <c r="E706" s="55"/>
      <c r="F706" s="56"/>
      <c r="G706" s="57"/>
    </row>
    <row r="707">
      <c r="A707" s="54"/>
      <c r="B707" s="55"/>
      <c r="C707" s="55"/>
      <c r="D707" s="55"/>
      <c r="E707" s="55"/>
      <c r="F707" s="56"/>
      <c r="G707" s="57"/>
    </row>
    <row r="708">
      <c r="A708" s="54"/>
      <c r="B708" s="55"/>
      <c r="C708" s="55"/>
      <c r="D708" s="55"/>
      <c r="E708" s="55"/>
      <c r="F708" s="56"/>
      <c r="G708" s="57"/>
    </row>
    <row r="709">
      <c r="A709" s="54"/>
      <c r="B709" s="55"/>
      <c r="C709" s="55"/>
      <c r="D709" s="55"/>
      <c r="E709" s="55"/>
      <c r="F709" s="56"/>
      <c r="G709" s="57"/>
    </row>
    <row r="710">
      <c r="A710" s="54"/>
      <c r="B710" s="55"/>
      <c r="C710" s="55"/>
      <c r="D710" s="55"/>
      <c r="E710" s="55"/>
      <c r="F710" s="56"/>
      <c r="G710" s="57"/>
    </row>
    <row r="711">
      <c r="A711" s="54"/>
      <c r="B711" s="55"/>
      <c r="C711" s="55"/>
      <c r="D711" s="55"/>
      <c r="E711" s="55"/>
      <c r="F711" s="56"/>
      <c r="G711" s="57"/>
    </row>
    <row r="712">
      <c r="A712" s="54"/>
      <c r="B712" s="55"/>
      <c r="C712" s="55"/>
      <c r="D712" s="55"/>
      <c r="E712" s="55"/>
      <c r="F712" s="56"/>
      <c r="G712" s="57"/>
    </row>
    <row r="713">
      <c r="A713" s="54"/>
      <c r="B713" s="55"/>
      <c r="C713" s="55"/>
      <c r="D713" s="55"/>
      <c r="E713" s="55"/>
      <c r="F713" s="56"/>
      <c r="G713" s="57"/>
    </row>
    <row r="714">
      <c r="A714" s="54"/>
      <c r="B714" s="55"/>
      <c r="C714" s="55"/>
      <c r="D714" s="55"/>
      <c r="E714" s="55"/>
      <c r="F714" s="56"/>
      <c r="G714" s="57"/>
    </row>
    <row r="715">
      <c r="A715" s="54"/>
      <c r="B715" s="55"/>
      <c r="C715" s="55"/>
      <c r="D715" s="55"/>
      <c r="E715" s="55"/>
      <c r="F715" s="56"/>
      <c r="G715" s="57"/>
    </row>
    <row r="716">
      <c r="A716" s="54"/>
      <c r="B716" s="55"/>
      <c r="C716" s="55"/>
      <c r="D716" s="55"/>
      <c r="E716" s="55"/>
      <c r="F716" s="56"/>
      <c r="G716" s="57"/>
    </row>
    <row r="717">
      <c r="A717" s="54"/>
      <c r="B717" s="55"/>
      <c r="C717" s="55"/>
      <c r="D717" s="55"/>
      <c r="E717" s="55"/>
      <c r="F717" s="56"/>
      <c r="G717" s="57"/>
    </row>
    <row r="718">
      <c r="A718" s="54"/>
      <c r="B718" s="55"/>
      <c r="C718" s="55"/>
      <c r="D718" s="55"/>
      <c r="E718" s="55"/>
      <c r="F718" s="56"/>
      <c r="G718" s="57"/>
    </row>
    <row r="719">
      <c r="A719" s="54"/>
      <c r="B719" s="55"/>
      <c r="C719" s="55"/>
      <c r="D719" s="55"/>
      <c r="E719" s="55"/>
      <c r="F719" s="56"/>
      <c r="G719" s="57"/>
    </row>
    <row r="720">
      <c r="A720" s="54"/>
      <c r="B720" s="55"/>
      <c r="C720" s="55"/>
      <c r="D720" s="55"/>
      <c r="E720" s="55"/>
      <c r="F720" s="56"/>
      <c r="G720" s="57"/>
    </row>
    <row r="721">
      <c r="A721" s="54"/>
      <c r="B721" s="55"/>
      <c r="C721" s="55"/>
      <c r="D721" s="55"/>
      <c r="E721" s="55"/>
      <c r="F721" s="56"/>
      <c r="G721" s="57"/>
    </row>
    <row r="722">
      <c r="A722" s="54"/>
      <c r="B722" s="55"/>
      <c r="C722" s="55"/>
      <c r="D722" s="55"/>
      <c r="E722" s="55"/>
      <c r="F722" s="56"/>
      <c r="G722" s="57"/>
    </row>
    <row r="723">
      <c r="A723" s="54"/>
      <c r="B723" s="55"/>
      <c r="C723" s="55"/>
      <c r="D723" s="55"/>
      <c r="E723" s="55"/>
      <c r="F723" s="56"/>
      <c r="G723" s="57"/>
    </row>
    <row r="724">
      <c r="A724" s="54"/>
      <c r="B724" s="55"/>
      <c r="C724" s="55"/>
      <c r="D724" s="55"/>
      <c r="E724" s="55"/>
      <c r="F724" s="56"/>
      <c r="G724" s="57"/>
    </row>
    <row r="725">
      <c r="A725" s="54"/>
      <c r="B725" s="55"/>
      <c r="C725" s="55"/>
      <c r="D725" s="55"/>
      <c r="E725" s="55"/>
      <c r="F725" s="56"/>
      <c r="G725" s="57"/>
    </row>
    <row r="726">
      <c r="A726" s="54"/>
      <c r="B726" s="55"/>
      <c r="C726" s="55"/>
      <c r="D726" s="55"/>
      <c r="E726" s="55"/>
      <c r="F726" s="56"/>
      <c r="G726" s="57"/>
    </row>
    <row r="727">
      <c r="A727" s="54"/>
      <c r="B727" s="55"/>
      <c r="C727" s="55"/>
      <c r="D727" s="55"/>
      <c r="E727" s="55"/>
      <c r="F727" s="56"/>
      <c r="G727" s="57"/>
    </row>
    <row r="728">
      <c r="A728" s="54"/>
      <c r="B728" s="55"/>
      <c r="C728" s="55"/>
      <c r="D728" s="55"/>
      <c r="E728" s="55"/>
      <c r="F728" s="56"/>
      <c r="G728" s="57"/>
    </row>
    <row r="729">
      <c r="A729" s="54"/>
      <c r="B729" s="55"/>
      <c r="C729" s="55"/>
      <c r="D729" s="55"/>
      <c r="E729" s="55"/>
      <c r="F729" s="56"/>
      <c r="G729" s="57"/>
    </row>
    <row r="730">
      <c r="A730" s="54"/>
      <c r="B730" s="55"/>
      <c r="C730" s="55"/>
      <c r="D730" s="55"/>
      <c r="E730" s="55"/>
      <c r="F730" s="56"/>
      <c r="G730" s="57"/>
    </row>
    <row r="731">
      <c r="A731" s="54"/>
      <c r="B731" s="55"/>
      <c r="C731" s="55"/>
      <c r="D731" s="55"/>
      <c r="E731" s="55"/>
      <c r="F731" s="56"/>
      <c r="G731" s="57"/>
    </row>
    <row r="732">
      <c r="A732" s="54"/>
      <c r="B732" s="55"/>
      <c r="C732" s="55"/>
      <c r="D732" s="55"/>
      <c r="E732" s="55"/>
      <c r="F732" s="56"/>
      <c r="G732" s="57"/>
    </row>
    <row r="733">
      <c r="A733" s="54"/>
      <c r="B733" s="55"/>
      <c r="C733" s="55"/>
      <c r="D733" s="55"/>
      <c r="E733" s="55"/>
      <c r="F733" s="56"/>
      <c r="G733" s="57"/>
    </row>
    <row r="734">
      <c r="A734" s="54"/>
      <c r="B734" s="55"/>
      <c r="C734" s="55"/>
      <c r="D734" s="55"/>
      <c r="E734" s="55"/>
      <c r="F734" s="56"/>
      <c r="G734" s="57"/>
    </row>
    <row r="735">
      <c r="A735" s="54"/>
      <c r="B735" s="55"/>
      <c r="C735" s="55"/>
      <c r="D735" s="55"/>
      <c r="E735" s="55"/>
      <c r="F735" s="56"/>
      <c r="G735" s="57"/>
    </row>
    <row r="736">
      <c r="A736" s="54"/>
      <c r="B736" s="55"/>
      <c r="C736" s="55"/>
      <c r="D736" s="55"/>
      <c r="E736" s="55"/>
      <c r="F736" s="56"/>
      <c r="G736" s="57"/>
    </row>
    <row r="737">
      <c r="A737" s="54"/>
      <c r="B737" s="55"/>
      <c r="C737" s="55"/>
      <c r="D737" s="55"/>
      <c r="E737" s="55"/>
      <c r="F737" s="56"/>
      <c r="G737" s="57"/>
    </row>
    <row r="738">
      <c r="A738" s="54"/>
      <c r="B738" s="55"/>
      <c r="C738" s="55"/>
      <c r="D738" s="55"/>
      <c r="E738" s="55"/>
      <c r="F738" s="56"/>
      <c r="G738" s="57"/>
    </row>
    <row r="739">
      <c r="A739" s="54"/>
      <c r="B739" s="55"/>
      <c r="C739" s="55"/>
      <c r="D739" s="55"/>
      <c r="E739" s="55"/>
      <c r="F739" s="56"/>
      <c r="G739" s="57"/>
    </row>
    <row r="740">
      <c r="A740" s="54"/>
      <c r="B740" s="55"/>
      <c r="C740" s="55"/>
      <c r="D740" s="55"/>
      <c r="E740" s="55"/>
      <c r="F740" s="56"/>
      <c r="G740" s="57"/>
    </row>
    <row r="741">
      <c r="A741" s="54"/>
      <c r="B741" s="55"/>
      <c r="C741" s="55"/>
      <c r="D741" s="55"/>
      <c r="E741" s="55"/>
      <c r="F741" s="56"/>
      <c r="G741" s="57"/>
    </row>
    <row r="742">
      <c r="A742" s="54"/>
      <c r="B742" s="55"/>
      <c r="C742" s="55"/>
      <c r="D742" s="55"/>
      <c r="E742" s="55"/>
      <c r="F742" s="56"/>
      <c r="G742" s="57"/>
    </row>
    <row r="743">
      <c r="A743" s="54"/>
      <c r="B743" s="55"/>
      <c r="C743" s="55"/>
      <c r="D743" s="55"/>
      <c r="E743" s="55"/>
      <c r="F743" s="56"/>
      <c r="G743" s="57"/>
    </row>
    <row r="744">
      <c r="A744" s="54"/>
      <c r="B744" s="55"/>
      <c r="C744" s="55"/>
      <c r="D744" s="55"/>
      <c r="E744" s="55"/>
      <c r="F744" s="56"/>
      <c r="G744" s="57"/>
    </row>
    <row r="745">
      <c r="A745" s="54"/>
      <c r="B745" s="55"/>
      <c r="C745" s="55"/>
      <c r="D745" s="55"/>
      <c r="E745" s="55"/>
      <c r="F745" s="56"/>
      <c r="G745" s="57"/>
    </row>
    <row r="746">
      <c r="A746" s="54"/>
      <c r="B746" s="55"/>
      <c r="C746" s="55"/>
      <c r="D746" s="55"/>
      <c r="E746" s="55"/>
      <c r="F746" s="56"/>
      <c r="G746" s="57"/>
    </row>
    <row r="747">
      <c r="A747" s="54"/>
      <c r="B747" s="55"/>
      <c r="C747" s="55"/>
      <c r="D747" s="55"/>
      <c r="E747" s="55"/>
      <c r="F747" s="56"/>
      <c r="G747" s="57"/>
    </row>
    <row r="748">
      <c r="A748" s="54"/>
      <c r="B748" s="55"/>
      <c r="C748" s="55"/>
      <c r="D748" s="55"/>
      <c r="E748" s="55"/>
      <c r="F748" s="56"/>
      <c r="G748" s="57"/>
    </row>
    <row r="749">
      <c r="A749" s="54"/>
      <c r="B749" s="55"/>
      <c r="C749" s="55"/>
      <c r="D749" s="55"/>
      <c r="E749" s="55"/>
      <c r="F749" s="56"/>
      <c r="G749" s="57"/>
    </row>
    <row r="750">
      <c r="A750" s="54"/>
      <c r="B750" s="55"/>
      <c r="C750" s="55"/>
      <c r="D750" s="55"/>
      <c r="E750" s="55"/>
      <c r="F750" s="56"/>
      <c r="G750" s="57"/>
    </row>
    <row r="751">
      <c r="A751" s="54"/>
      <c r="B751" s="55"/>
      <c r="C751" s="55"/>
      <c r="D751" s="55"/>
      <c r="E751" s="55"/>
      <c r="F751" s="56"/>
      <c r="G751" s="57"/>
    </row>
    <row r="752">
      <c r="A752" s="54"/>
      <c r="B752" s="55"/>
      <c r="C752" s="55"/>
      <c r="D752" s="55"/>
      <c r="E752" s="55"/>
      <c r="F752" s="56"/>
      <c r="G752" s="57"/>
    </row>
    <row r="753">
      <c r="A753" s="54"/>
      <c r="B753" s="55"/>
      <c r="C753" s="55"/>
      <c r="D753" s="55"/>
      <c r="E753" s="55"/>
      <c r="F753" s="56"/>
      <c r="G753" s="57"/>
    </row>
    <row r="754">
      <c r="A754" s="54"/>
      <c r="B754" s="55"/>
      <c r="C754" s="55"/>
      <c r="D754" s="55"/>
      <c r="E754" s="55"/>
      <c r="F754" s="56"/>
      <c r="G754" s="57"/>
    </row>
    <row r="755">
      <c r="A755" s="54"/>
      <c r="B755" s="55"/>
      <c r="C755" s="55"/>
      <c r="D755" s="55"/>
      <c r="E755" s="55"/>
      <c r="F755" s="56"/>
      <c r="G755" s="57"/>
    </row>
    <row r="756">
      <c r="A756" s="54"/>
      <c r="B756" s="55"/>
      <c r="C756" s="55"/>
      <c r="D756" s="55"/>
      <c r="E756" s="55"/>
      <c r="F756" s="56"/>
      <c r="G756" s="57"/>
    </row>
    <row r="757">
      <c r="A757" s="54"/>
      <c r="B757" s="55"/>
      <c r="C757" s="55"/>
      <c r="D757" s="55"/>
      <c r="E757" s="55"/>
      <c r="F757" s="56"/>
      <c r="G757" s="57"/>
    </row>
    <row r="758">
      <c r="A758" s="54"/>
      <c r="B758" s="55"/>
      <c r="C758" s="55"/>
      <c r="D758" s="55"/>
      <c r="E758" s="55"/>
      <c r="F758" s="56"/>
      <c r="G758" s="57"/>
    </row>
    <row r="759">
      <c r="A759" s="54"/>
      <c r="B759" s="55"/>
      <c r="C759" s="55"/>
      <c r="D759" s="55"/>
      <c r="E759" s="55"/>
      <c r="F759" s="56"/>
      <c r="G759" s="57"/>
    </row>
    <row r="760">
      <c r="A760" s="54"/>
      <c r="B760" s="55"/>
      <c r="C760" s="55"/>
      <c r="D760" s="55"/>
      <c r="E760" s="55"/>
      <c r="F760" s="56"/>
      <c r="G760" s="57"/>
    </row>
    <row r="761">
      <c r="A761" s="54"/>
      <c r="B761" s="55"/>
      <c r="C761" s="55"/>
      <c r="D761" s="55"/>
      <c r="E761" s="55"/>
      <c r="F761" s="56"/>
      <c r="G761" s="57"/>
    </row>
    <row r="762">
      <c r="A762" s="54"/>
      <c r="B762" s="55"/>
      <c r="C762" s="55"/>
      <c r="D762" s="55"/>
      <c r="E762" s="55"/>
      <c r="F762" s="56"/>
      <c r="G762" s="57"/>
    </row>
    <row r="763">
      <c r="A763" s="54"/>
      <c r="B763" s="55"/>
      <c r="C763" s="55"/>
      <c r="D763" s="55"/>
      <c r="E763" s="55"/>
      <c r="F763" s="56"/>
      <c r="G763" s="57"/>
    </row>
    <row r="764">
      <c r="A764" s="54"/>
      <c r="B764" s="55"/>
      <c r="C764" s="55"/>
      <c r="D764" s="55"/>
      <c r="E764" s="55"/>
      <c r="F764" s="56"/>
      <c r="G764" s="57"/>
    </row>
    <row r="765">
      <c r="A765" s="54"/>
      <c r="B765" s="55"/>
      <c r="C765" s="55"/>
      <c r="D765" s="55"/>
      <c r="E765" s="55"/>
      <c r="F765" s="56"/>
      <c r="G765" s="57"/>
    </row>
    <row r="766">
      <c r="A766" s="54"/>
      <c r="B766" s="55"/>
      <c r="C766" s="55"/>
      <c r="D766" s="55"/>
      <c r="E766" s="55"/>
      <c r="F766" s="56"/>
      <c r="G766" s="57"/>
    </row>
    <row r="767">
      <c r="A767" s="54"/>
      <c r="B767" s="55"/>
      <c r="C767" s="55"/>
      <c r="D767" s="55"/>
      <c r="E767" s="55"/>
      <c r="F767" s="56"/>
      <c r="G767" s="57"/>
    </row>
    <row r="768">
      <c r="A768" s="54"/>
      <c r="B768" s="55"/>
      <c r="C768" s="55"/>
      <c r="D768" s="55"/>
      <c r="E768" s="55"/>
      <c r="F768" s="56"/>
      <c r="G768" s="57"/>
    </row>
    <row r="769">
      <c r="A769" s="54"/>
      <c r="B769" s="55"/>
      <c r="C769" s="55"/>
      <c r="D769" s="55"/>
      <c r="E769" s="55"/>
      <c r="F769" s="56"/>
      <c r="G769" s="57"/>
    </row>
    <row r="770">
      <c r="A770" s="54"/>
      <c r="B770" s="55"/>
      <c r="C770" s="55"/>
      <c r="D770" s="55"/>
      <c r="E770" s="55"/>
      <c r="F770" s="56"/>
      <c r="G770" s="57"/>
    </row>
    <row r="771">
      <c r="A771" s="54"/>
      <c r="B771" s="55"/>
      <c r="C771" s="55"/>
      <c r="D771" s="55"/>
      <c r="E771" s="55"/>
      <c r="F771" s="56"/>
      <c r="G771" s="57"/>
    </row>
    <row r="772">
      <c r="A772" s="54"/>
      <c r="B772" s="55"/>
      <c r="C772" s="55"/>
      <c r="D772" s="55"/>
      <c r="E772" s="55"/>
      <c r="F772" s="56"/>
      <c r="G772" s="57"/>
    </row>
    <row r="773">
      <c r="A773" s="54"/>
      <c r="B773" s="55"/>
      <c r="C773" s="55"/>
      <c r="D773" s="55"/>
      <c r="E773" s="55"/>
      <c r="F773" s="56"/>
      <c r="G773" s="57"/>
    </row>
    <row r="774">
      <c r="A774" s="54"/>
      <c r="B774" s="55"/>
      <c r="C774" s="55"/>
      <c r="D774" s="55"/>
      <c r="E774" s="55"/>
      <c r="F774" s="56"/>
      <c r="G774" s="57"/>
    </row>
    <row r="775">
      <c r="A775" s="54"/>
      <c r="B775" s="55"/>
      <c r="C775" s="55"/>
      <c r="D775" s="55"/>
      <c r="E775" s="55"/>
      <c r="F775" s="56"/>
      <c r="G775" s="57"/>
    </row>
    <row r="776">
      <c r="A776" s="54"/>
      <c r="B776" s="55"/>
      <c r="C776" s="55"/>
      <c r="D776" s="55"/>
      <c r="E776" s="55"/>
      <c r="F776" s="56"/>
      <c r="G776" s="57"/>
    </row>
    <row r="777">
      <c r="A777" s="54"/>
      <c r="B777" s="55"/>
      <c r="C777" s="55"/>
      <c r="D777" s="55"/>
      <c r="E777" s="55"/>
      <c r="F777" s="56"/>
      <c r="G777" s="57"/>
    </row>
    <row r="778">
      <c r="A778" s="54"/>
      <c r="B778" s="55"/>
      <c r="C778" s="55"/>
      <c r="D778" s="55"/>
      <c r="E778" s="55"/>
      <c r="F778" s="56"/>
      <c r="G778" s="57"/>
    </row>
    <row r="779">
      <c r="A779" s="54"/>
      <c r="B779" s="55"/>
      <c r="C779" s="55"/>
      <c r="D779" s="55"/>
      <c r="E779" s="55"/>
      <c r="F779" s="56"/>
      <c r="G779" s="57"/>
    </row>
    <row r="780">
      <c r="A780" s="54"/>
      <c r="B780" s="55"/>
      <c r="C780" s="55"/>
      <c r="D780" s="55"/>
      <c r="E780" s="55"/>
      <c r="F780" s="56"/>
      <c r="G780" s="57"/>
    </row>
    <row r="781">
      <c r="A781" s="54"/>
      <c r="B781" s="55"/>
      <c r="C781" s="55"/>
      <c r="D781" s="55"/>
      <c r="E781" s="55"/>
      <c r="F781" s="56"/>
      <c r="G781" s="57"/>
    </row>
    <row r="782">
      <c r="A782" s="54"/>
      <c r="B782" s="55"/>
      <c r="C782" s="55"/>
      <c r="D782" s="55"/>
      <c r="E782" s="55"/>
      <c r="F782" s="56"/>
      <c r="G782" s="57"/>
    </row>
    <row r="783">
      <c r="A783" s="54"/>
      <c r="B783" s="55"/>
      <c r="C783" s="55"/>
      <c r="D783" s="55"/>
      <c r="E783" s="55"/>
      <c r="F783" s="56"/>
      <c r="G783" s="57"/>
    </row>
    <row r="784">
      <c r="A784" s="54"/>
      <c r="B784" s="55"/>
      <c r="C784" s="55"/>
      <c r="D784" s="55"/>
      <c r="E784" s="55"/>
      <c r="F784" s="56"/>
      <c r="G784" s="57"/>
    </row>
    <row r="785">
      <c r="A785" s="54"/>
      <c r="B785" s="55"/>
      <c r="C785" s="55"/>
      <c r="D785" s="55"/>
      <c r="E785" s="55"/>
      <c r="F785" s="56"/>
      <c r="G785" s="57"/>
    </row>
    <row r="786">
      <c r="A786" s="54"/>
      <c r="B786" s="55"/>
      <c r="C786" s="55"/>
      <c r="D786" s="55"/>
      <c r="E786" s="55"/>
      <c r="F786" s="56"/>
      <c r="G786" s="57"/>
    </row>
    <row r="787">
      <c r="A787" s="54"/>
      <c r="B787" s="55"/>
      <c r="C787" s="55"/>
      <c r="D787" s="55"/>
      <c r="E787" s="55"/>
      <c r="F787" s="56"/>
      <c r="G787" s="57"/>
    </row>
    <row r="788">
      <c r="A788" s="54"/>
      <c r="B788" s="55"/>
      <c r="C788" s="55"/>
      <c r="D788" s="55"/>
      <c r="E788" s="55"/>
      <c r="F788" s="56"/>
      <c r="G788" s="57"/>
    </row>
    <row r="789">
      <c r="A789" s="54"/>
      <c r="B789" s="55"/>
      <c r="C789" s="55"/>
      <c r="D789" s="55"/>
      <c r="E789" s="55"/>
      <c r="F789" s="56"/>
      <c r="G789" s="57"/>
    </row>
    <row r="790">
      <c r="A790" s="54"/>
      <c r="B790" s="55"/>
      <c r="C790" s="55"/>
      <c r="D790" s="55"/>
      <c r="E790" s="55"/>
      <c r="F790" s="56"/>
      <c r="G790" s="57"/>
    </row>
    <row r="791">
      <c r="A791" s="54"/>
      <c r="B791" s="55"/>
      <c r="C791" s="55"/>
      <c r="D791" s="55"/>
      <c r="E791" s="55"/>
      <c r="F791" s="56"/>
      <c r="G791" s="57"/>
    </row>
    <row r="792">
      <c r="A792" s="54"/>
      <c r="B792" s="55"/>
      <c r="C792" s="55"/>
      <c r="D792" s="55"/>
      <c r="E792" s="55"/>
      <c r="F792" s="56"/>
      <c r="G792" s="57"/>
    </row>
    <row r="793">
      <c r="A793" s="54"/>
      <c r="B793" s="55"/>
      <c r="C793" s="55"/>
      <c r="D793" s="55"/>
      <c r="E793" s="55"/>
      <c r="F793" s="56"/>
      <c r="G793" s="57"/>
    </row>
    <row r="794">
      <c r="A794" s="54"/>
      <c r="B794" s="55"/>
      <c r="C794" s="55"/>
      <c r="D794" s="55"/>
      <c r="E794" s="55"/>
      <c r="F794" s="56"/>
      <c r="G794" s="57"/>
    </row>
    <row r="795">
      <c r="A795" s="54"/>
      <c r="B795" s="55"/>
      <c r="C795" s="55"/>
      <c r="D795" s="55"/>
      <c r="E795" s="55"/>
      <c r="F795" s="56"/>
      <c r="G795" s="57"/>
    </row>
    <row r="796">
      <c r="A796" s="54"/>
      <c r="B796" s="55"/>
      <c r="C796" s="55"/>
      <c r="D796" s="55"/>
      <c r="E796" s="55"/>
      <c r="F796" s="56"/>
      <c r="G796" s="57"/>
    </row>
    <row r="797">
      <c r="A797" s="54"/>
      <c r="B797" s="55"/>
      <c r="C797" s="55"/>
      <c r="D797" s="55"/>
      <c r="E797" s="55"/>
      <c r="F797" s="56"/>
      <c r="G797" s="57"/>
    </row>
    <row r="798">
      <c r="A798" s="54"/>
      <c r="B798" s="55"/>
      <c r="C798" s="55"/>
      <c r="D798" s="55"/>
      <c r="E798" s="55"/>
      <c r="F798" s="56"/>
      <c r="G798" s="57"/>
    </row>
    <row r="799">
      <c r="A799" s="54"/>
      <c r="B799" s="55"/>
      <c r="C799" s="55"/>
      <c r="D799" s="55"/>
      <c r="E799" s="55"/>
      <c r="F799" s="56"/>
      <c r="G799" s="57"/>
    </row>
    <row r="800">
      <c r="A800" s="54"/>
      <c r="B800" s="55"/>
      <c r="C800" s="55"/>
      <c r="D800" s="55"/>
      <c r="E800" s="55"/>
      <c r="F800" s="56"/>
      <c r="G800" s="57"/>
    </row>
    <row r="801">
      <c r="A801" s="54"/>
      <c r="B801" s="55"/>
      <c r="C801" s="55"/>
      <c r="D801" s="55"/>
      <c r="E801" s="55"/>
      <c r="F801" s="56"/>
      <c r="G801" s="57"/>
    </row>
    <row r="802">
      <c r="A802" s="54"/>
      <c r="B802" s="55"/>
      <c r="C802" s="55"/>
      <c r="D802" s="55"/>
      <c r="E802" s="55"/>
      <c r="F802" s="56"/>
      <c r="G802" s="57"/>
    </row>
    <row r="803">
      <c r="A803" s="54"/>
      <c r="B803" s="55"/>
      <c r="C803" s="55"/>
      <c r="D803" s="55"/>
      <c r="E803" s="55"/>
      <c r="F803" s="56"/>
      <c r="G803" s="57"/>
    </row>
    <row r="804">
      <c r="A804" s="54"/>
      <c r="B804" s="55"/>
      <c r="C804" s="55"/>
      <c r="D804" s="55"/>
      <c r="E804" s="55"/>
      <c r="F804" s="56"/>
      <c r="G804" s="57"/>
    </row>
    <row r="805">
      <c r="A805" s="54"/>
      <c r="B805" s="55"/>
      <c r="C805" s="55"/>
      <c r="D805" s="55"/>
      <c r="E805" s="55"/>
      <c r="F805" s="56"/>
      <c r="G805" s="57"/>
    </row>
    <row r="806">
      <c r="A806" s="54"/>
      <c r="B806" s="55"/>
      <c r="C806" s="55"/>
      <c r="D806" s="55"/>
      <c r="E806" s="55"/>
      <c r="F806" s="56"/>
      <c r="G806" s="57"/>
    </row>
    <row r="807">
      <c r="A807" s="54"/>
      <c r="B807" s="55"/>
      <c r="C807" s="55"/>
      <c r="D807" s="55"/>
      <c r="E807" s="55"/>
      <c r="F807" s="56"/>
      <c r="G807" s="57"/>
    </row>
    <row r="808">
      <c r="A808" s="54"/>
      <c r="B808" s="55"/>
      <c r="C808" s="55"/>
      <c r="D808" s="55"/>
      <c r="E808" s="55"/>
      <c r="F808" s="56"/>
      <c r="G808" s="57"/>
    </row>
    <row r="809">
      <c r="A809" s="54"/>
      <c r="B809" s="55"/>
      <c r="C809" s="55"/>
      <c r="D809" s="55"/>
      <c r="E809" s="55"/>
      <c r="F809" s="56"/>
      <c r="G809" s="57"/>
    </row>
    <row r="810">
      <c r="A810" s="54"/>
      <c r="B810" s="55"/>
      <c r="C810" s="55"/>
      <c r="D810" s="55"/>
      <c r="E810" s="55"/>
      <c r="F810" s="56"/>
      <c r="G810" s="57"/>
    </row>
    <row r="811">
      <c r="A811" s="54"/>
      <c r="B811" s="55"/>
      <c r="C811" s="55"/>
      <c r="D811" s="55"/>
      <c r="E811" s="55"/>
      <c r="F811" s="56"/>
      <c r="G811" s="57"/>
    </row>
    <row r="812">
      <c r="A812" s="54"/>
      <c r="B812" s="55"/>
      <c r="C812" s="55"/>
      <c r="D812" s="55"/>
      <c r="E812" s="55"/>
      <c r="F812" s="56"/>
      <c r="G812" s="57"/>
    </row>
    <row r="813">
      <c r="A813" s="54"/>
      <c r="B813" s="55"/>
      <c r="C813" s="55"/>
      <c r="D813" s="55"/>
      <c r="E813" s="55"/>
      <c r="F813" s="56"/>
      <c r="G813" s="57"/>
    </row>
    <row r="814">
      <c r="A814" s="54"/>
      <c r="B814" s="55"/>
      <c r="C814" s="55"/>
      <c r="D814" s="55"/>
      <c r="E814" s="55"/>
      <c r="F814" s="56"/>
      <c r="G814" s="57"/>
    </row>
    <row r="815">
      <c r="A815" s="54"/>
      <c r="B815" s="55"/>
      <c r="C815" s="55"/>
      <c r="D815" s="55"/>
      <c r="E815" s="55"/>
      <c r="F815" s="56"/>
      <c r="G815" s="57"/>
    </row>
    <row r="816">
      <c r="A816" s="54"/>
      <c r="B816" s="55"/>
      <c r="C816" s="55"/>
      <c r="D816" s="55"/>
      <c r="E816" s="55"/>
      <c r="F816" s="56"/>
      <c r="G816" s="57"/>
    </row>
    <row r="817">
      <c r="A817" s="54"/>
      <c r="B817" s="55"/>
      <c r="C817" s="55"/>
      <c r="D817" s="55"/>
      <c r="E817" s="55"/>
      <c r="F817" s="56"/>
      <c r="G817" s="57"/>
    </row>
    <row r="818">
      <c r="A818" s="54"/>
      <c r="B818" s="55"/>
      <c r="C818" s="55"/>
      <c r="D818" s="55"/>
      <c r="E818" s="55"/>
      <c r="F818" s="56"/>
      <c r="G818" s="57"/>
    </row>
    <row r="819">
      <c r="A819" s="54"/>
      <c r="B819" s="55"/>
      <c r="C819" s="55"/>
      <c r="D819" s="55"/>
      <c r="E819" s="55"/>
      <c r="F819" s="56"/>
      <c r="G819" s="57"/>
    </row>
    <row r="820">
      <c r="A820" s="54"/>
      <c r="B820" s="55"/>
      <c r="C820" s="55"/>
      <c r="D820" s="55"/>
      <c r="E820" s="55"/>
      <c r="F820" s="56"/>
      <c r="G820" s="57"/>
    </row>
    <row r="821">
      <c r="A821" s="54"/>
      <c r="B821" s="55"/>
      <c r="C821" s="55"/>
      <c r="D821" s="55"/>
      <c r="E821" s="55"/>
      <c r="F821" s="56"/>
      <c r="G821" s="57"/>
    </row>
    <row r="822">
      <c r="A822" s="54"/>
      <c r="B822" s="55"/>
      <c r="C822" s="55"/>
      <c r="D822" s="55"/>
      <c r="E822" s="55"/>
      <c r="F822" s="56"/>
      <c r="G822" s="57"/>
    </row>
    <row r="823">
      <c r="A823" s="54"/>
      <c r="B823" s="55"/>
      <c r="C823" s="55"/>
      <c r="D823" s="55"/>
      <c r="E823" s="55"/>
      <c r="F823" s="56"/>
      <c r="G823" s="57"/>
    </row>
    <row r="824">
      <c r="A824" s="54"/>
      <c r="B824" s="55"/>
      <c r="C824" s="55"/>
      <c r="D824" s="55"/>
      <c r="E824" s="55"/>
      <c r="F824" s="56"/>
      <c r="G824" s="57"/>
    </row>
    <row r="825">
      <c r="A825" s="54"/>
      <c r="B825" s="55"/>
      <c r="C825" s="55"/>
      <c r="D825" s="55"/>
      <c r="E825" s="55"/>
      <c r="F825" s="56"/>
      <c r="G825" s="57"/>
    </row>
    <row r="826">
      <c r="A826" s="54"/>
      <c r="B826" s="55"/>
      <c r="C826" s="55"/>
      <c r="D826" s="55"/>
      <c r="E826" s="55"/>
      <c r="F826" s="56"/>
      <c r="G826" s="57"/>
    </row>
    <row r="827">
      <c r="A827" s="54"/>
      <c r="B827" s="55"/>
      <c r="C827" s="55"/>
      <c r="D827" s="55"/>
      <c r="E827" s="55"/>
      <c r="F827" s="56"/>
      <c r="G827" s="57"/>
    </row>
    <row r="828">
      <c r="A828" s="54"/>
      <c r="B828" s="55"/>
      <c r="C828" s="55"/>
      <c r="D828" s="55"/>
      <c r="E828" s="55"/>
      <c r="F828" s="56"/>
      <c r="G828" s="57"/>
    </row>
    <row r="829">
      <c r="A829" s="54"/>
      <c r="B829" s="55"/>
      <c r="C829" s="55"/>
      <c r="D829" s="55"/>
      <c r="E829" s="55"/>
      <c r="F829" s="56"/>
      <c r="G829" s="57"/>
    </row>
    <row r="830">
      <c r="A830" s="54"/>
      <c r="B830" s="55"/>
      <c r="C830" s="55"/>
      <c r="D830" s="55"/>
      <c r="E830" s="55"/>
      <c r="F830" s="56"/>
      <c r="G830" s="57"/>
    </row>
    <row r="831">
      <c r="A831" s="54"/>
      <c r="B831" s="55"/>
      <c r="C831" s="55"/>
      <c r="D831" s="55"/>
      <c r="E831" s="55"/>
      <c r="F831" s="56"/>
      <c r="G831" s="57"/>
    </row>
    <row r="832">
      <c r="A832" s="54"/>
      <c r="B832" s="55"/>
      <c r="C832" s="55"/>
      <c r="D832" s="55"/>
      <c r="E832" s="55"/>
      <c r="F832" s="56"/>
      <c r="G832" s="57"/>
    </row>
    <row r="833">
      <c r="A833" s="54"/>
      <c r="B833" s="55"/>
      <c r="C833" s="55"/>
      <c r="D833" s="55"/>
      <c r="E833" s="55"/>
      <c r="F833" s="56"/>
      <c r="G833" s="57"/>
    </row>
    <row r="834">
      <c r="A834" s="54"/>
      <c r="B834" s="55"/>
      <c r="C834" s="55"/>
      <c r="D834" s="55"/>
      <c r="E834" s="55"/>
      <c r="F834" s="56"/>
      <c r="G834" s="57"/>
    </row>
    <row r="835">
      <c r="A835" s="54"/>
      <c r="B835" s="55"/>
      <c r="C835" s="55"/>
      <c r="D835" s="55"/>
      <c r="E835" s="55"/>
      <c r="F835" s="56"/>
      <c r="G835" s="57"/>
    </row>
    <row r="836">
      <c r="A836" s="54"/>
      <c r="B836" s="55"/>
      <c r="C836" s="55"/>
      <c r="D836" s="55"/>
      <c r="E836" s="55"/>
      <c r="F836" s="56"/>
      <c r="G836" s="57"/>
    </row>
    <row r="837">
      <c r="A837" s="54"/>
      <c r="B837" s="55"/>
      <c r="C837" s="55"/>
      <c r="D837" s="55"/>
      <c r="E837" s="55"/>
      <c r="F837" s="56"/>
      <c r="G837" s="57"/>
    </row>
    <row r="838">
      <c r="A838" s="54"/>
      <c r="B838" s="55"/>
      <c r="C838" s="55"/>
      <c r="D838" s="55"/>
      <c r="E838" s="55"/>
      <c r="F838" s="56"/>
      <c r="G838" s="57"/>
    </row>
    <row r="839">
      <c r="A839" s="54"/>
      <c r="B839" s="55"/>
      <c r="C839" s="55"/>
      <c r="D839" s="55"/>
      <c r="E839" s="55"/>
      <c r="F839" s="56"/>
      <c r="G839" s="57"/>
    </row>
    <row r="840">
      <c r="A840" s="54"/>
      <c r="B840" s="55"/>
      <c r="C840" s="55"/>
      <c r="D840" s="55"/>
      <c r="E840" s="55"/>
      <c r="F840" s="56"/>
      <c r="G840" s="57"/>
    </row>
    <row r="841">
      <c r="A841" s="54"/>
      <c r="B841" s="55"/>
      <c r="C841" s="55"/>
      <c r="D841" s="55"/>
      <c r="E841" s="55"/>
      <c r="F841" s="56"/>
      <c r="G841" s="57"/>
    </row>
    <row r="842">
      <c r="A842" s="54"/>
      <c r="B842" s="55"/>
      <c r="C842" s="55"/>
      <c r="D842" s="55"/>
      <c r="E842" s="55"/>
      <c r="F842" s="56"/>
      <c r="G842" s="57"/>
    </row>
    <row r="843">
      <c r="A843" s="54"/>
      <c r="B843" s="55"/>
      <c r="C843" s="55"/>
      <c r="D843" s="55"/>
      <c r="E843" s="55"/>
      <c r="F843" s="56"/>
      <c r="G843" s="57"/>
    </row>
    <row r="844">
      <c r="A844" s="54"/>
      <c r="B844" s="55"/>
      <c r="C844" s="55"/>
      <c r="D844" s="55"/>
      <c r="E844" s="55"/>
      <c r="F844" s="56"/>
      <c r="G844" s="57"/>
    </row>
    <row r="845">
      <c r="A845" s="54"/>
      <c r="B845" s="55"/>
      <c r="C845" s="55"/>
      <c r="D845" s="55"/>
      <c r="E845" s="55"/>
      <c r="F845" s="56"/>
      <c r="G845" s="57"/>
    </row>
    <row r="846">
      <c r="A846" s="54"/>
      <c r="B846" s="55"/>
      <c r="C846" s="55"/>
      <c r="D846" s="55"/>
      <c r="E846" s="55"/>
      <c r="F846" s="56"/>
      <c r="G846" s="57"/>
    </row>
    <row r="847">
      <c r="A847" s="54"/>
      <c r="B847" s="55"/>
      <c r="C847" s="55"/>
      <c r="D847" s="55"/>
      <c r="E847" s="55"/>
      <c r="F847" s="56"/>
      <c r="G847" s="57"/>
    </row>
    <row r="848">
      <c r="A848" s="54"/>
      <c r="B848" s="55"/>
      <c r="C848" s="55"/>
      <c r="D848" s="55"/>
      <c r="E848" s="55"/>
      <c r="F848" s="56"/>
      <c r="G848" s="57"/>
    </row>
    <row r="849">
      <c r="A849" s="54"/>
      <c r="B849" s="55"/>
      <c r="C849" s="55"/>
      <c r="D849" s="55"/>
      <c r="E849" s="55"/>
      <c r="F849" s="56"/>
      <c r="G849" s="57"/>
    </row>
    <row r="850">
      <c r="A850" s="54"/>
      <c r="B850" s="55"/>
      <c r="C850" s="55"/>
      <c r="D850" s="55"/>
      <c r="E850" s="55"/>
      <c r="F850" s="56"/>
      <c r="G850" s="57"/>
    </row>
    <row r="851">
      <c r="A851" s="54"/>
      <c r="B851" s="55"/>
      <c r="C851" s="55"/>
      <c r="D851" s="55"/>
      <c r="E851" s="55"/>
      <c r="F851" s="56"/>
      <c r="G851" s="57"/>
    </row>
    <row r="852">
      <c r="A852" s="54"/>
      <c r="B852" s="55"/>
      <c r="C852" s="55"/>
      <c r="D852" s="55"/>
      <c r="E852" s="55"/>
      <c r="F852" s="56"/>
      <c r="G852" s="57"/>
    </row>
    <row r="853">
      <c r="A853" s="54"/>
      <c r="B853" s="55"/>
      <c r="C853" s="55"/>
      <c r="D853" s="55"/>
      <c r="E853" s="55"/>
      <c r="F853" s="56"/>
      <c r="G853" s="57"/>
    </row>
    <row r="854">
      <c r="A854" s="54"/>
      <c r="B854" s="55"/>
      <c r="C854" s="55"/>
      <c r="D854" s="55"/>
      <c r="E854" s="55"/>
      <c r="F854" s="56"/>
      <c r="G854" s="57"/>
    </row>
    <row r="855">
      <c r="A855" s="54"/>
      <c r="B855" s="55"/>
      <c r="C855" s="55"/>
      <c r="D855" s="55"/>
      <c r="E855" s="55"/>
      <c r="F855" s="56"/>
      <c r="G855" s="57"/>
    </row>
    <row r="856">
      <c r="A856" s="54"/>
      <c r="B856" s="55"/>
      <c r="C856" s="55"/>
      <c r="D856" s="55"/>
      <c r="E856" s="55"/>
      <c r="F856" s="56"/>
      <c r="G856" s="57"/>
    </row>
    <row r="857">
      <c r="A857" s="54"/>
      <c r="B857" s="55"/>
      <c r="C857" s="55"/>
      <c r="D857" s="55"/>
      <c r="E857" s="55"/>
      <c r="F857" s="56"/>
      <c r="G857" s="57"/>
    </row>
    <row r="858">
      <c r="A858" s="54"/>
      <c r="B858" s="55"/>
      <c r="C858" s="55"/>
      <c r="D858" s="55"/>
      <c r="E858" s="55"/>
      <c r="F858" s="56"/>
      <c r="G858" s="57"/>
    </row>
    <row r="859">
      <c r="A859" s="54"/>
      <c r="B859" s="55"/>
      <c r="C859" s="55"/>
      <c r="D859" s="55"/>
      <c r="E859" s="55"/>
      <c r="F859" s="56"/>
      <c r="G859" s="57"/>
    </row>
    <row r="860">
      <c r="A860" s="54"/>
      <c r="B860" s="55"/>
      <c r="C860" s="55"/>
      <c r="D860" s="55"/>
      <c r="E860" s="55"/>
      <c r="F860" s="56"/>
      <c r="G860" s="57"/>
    </row>
    <row r="861">
      <c r="A861" s="54"/>
      <c r="B861" s="55"/>
      <c r="C861" s="55"/>
      <c r="D861" s="55"/>
      <c r="E861" s="55"/>
      <c r="F861" s="56"/>
      <c r="G861" s="57"/>
    </row>
    <row r="862">
      <c r="A862" s="54"/>
      <c r="B862" s="55"/>
      <c r="C862" s="55"/>
      <c r="D862" s="55"/>
      <c r="E862" s="55"/>
      <c r="F862" s="56"/>
      <c r="G862" s="57"/>
    </row>
    <row r="863">
      <c r="A863" s="54"/>
      <c r="B863" s="55"/>
      <c r="C863" s="55"/>
      <c r="D863" s="55"/>
      <c r="E863" s="55"/>
      <c r="F863" s="56"/>
      <c r="G863" s="57"/>
    </row>
    <row r="864">
      <c r="A864" s="54"/>
      <c r="B864" s="55"/>
      <c r="C864" s="55"/>
      <c r="D864" s="55"/>
      <c r="E864" s="55"/>
      <c r="F864" s="56"/>
      <c r="G864" s="57"/>
    </row>
    <row r="865">
      <c r="A865" s="54"/>
      <c r="B865" s="55"/>
      <c r="C865" s="55"/>
      <c r="D865" s="55"/>
      <c r="E865" s="55"/>
      <c r="F865" s="56"/>
      <c r="G865" s="57"/>
    </row>
    <row r="866">
      <c r="A866" s="54"/>
      <c r="B866" s="55"/>
      <c r="C866" s="55"/>
      <c r="D866" s="55"/>
      <c r="E866" s="55"/>
      <c r="F866" s="56"/>
      <c r="G866" s="57"/>
    </row>
    <row r="867">
      <c r="A867" s="54"/>
      <c r="B867" s="55"/>
      <c r="C867" s="55"/>
      <c r="D867" s="55"/>
      <c r="E867" s="55"/>
      <c r="F867" s="56"/>
      <c r="G867" s="57"/>
    </row>
    <row r="868">
      <c r="A868" s="54"/>
      <c r="B868" s="55"/>
      <c r="C868" s="55"/>
      <c r="D868" s="55"/>
      <c r="E868" s="55"/>
      <c r="F868" s="56"/>
      <c r="G868" s="57"/>
    </row>
    <row r="869">
      <c r="A869" s="54"/>
      <c r="B869" s="55"/>
      <c r="C869" s="55"/>
      <c r="D869" s="55"/>
      <c r="E869" s="55"/>
      <c r="F869" s="56"/>
      <c r="G869" s="57"/>
    </row>
    <row r="870">
      <c r="A870" s="54"/>
      <c r="B870" s="55"/>
      <c r="C870" s="55"/>
      <c r="D870" s="55"/>
      <c r="E870" s="55"/>
      <c r="F870" s="56"/>
      <c r="G870" s="57"/>
    </row>
    <row r="871">
      <c r="A871" s="54"/>
      <c r="B871" s="55"/>
      <c r="C871" s="55"/>
      <c r="D871" s="55"/>
      <c r="E871" s="55"/>
      <c r="F871" s="56"/>
      <c r="G871" s="57"/>
    </row>
    <row r="872">
      <c r="A872" s="54"/>
      <c r="B872" s="55"/>
      <c r="C872" s="55"/>
      <c r="D872" s="55"/>
      <c r="E872" s="55"/>
      <c r="F872" s="56"/>
      <c r="G872" s="57"/>
    </row>
    <row r="873">
      <c r="A873" s="54"/>
      <c r="B873" s="55"/>
      <c r="C873" s="55"/>
      <c r="D873" s="55"/>
      <c r="E873" s="55"/>
      <c r="F873" s="56"/>
      <c r="G873" s="57"/>
    </row>
    <row r="874">
      <c r="A874" s="54"/>
      <c r="B874" s="55"/>
      <c r="C874" s="55"/>
      <c r="D874" s="55"/>
      <c r="E874" s="55"/>
      <c r="F874" s="56"/>
      <c r="G874" s="57"/>
    </row>
    <row r="875">
      <c r="A875" s="54"/>
      <c r="B875" s="55"/>
      <c r="C875" s="55"/>
      <c r="D875" s="55"/>
      <c r="E875" s="55"/>
      <c r="F875" s="56"/>
      <c r="G875" s="57"/>
    </row>
    <row r="876">
      <c r="A876" s="54"/>
      <c r="B876" s="55"/>
      <c r="C876" s="55"/>
      <c r="D876" s="55"/>
      <c r="E876" s="55"/>
      <c r="F876" s="56"/>
      <c r="G876" s="57"/>
    </row>
    <row r="877">
      <c r="A877" s="54"/>
      <c r="B877" s="55"/>
      <c r="C877" s="55"/>
      <c r="D877" s="55"/>
      <c r="E877" s="55"/>
      <c r="F877" s="56"/>
      <c r="G877" s="57"/>
    </row>
    <row r="878">
      <c r="A878" s="54"/>
      <c r="B878" s="55"/>
      <c r="C878" s="55"/>
      <c r="D878" s="55"/>
      <c r="E878" s="55"/>
      <c r="F878" s="56"/>
      <c r="G878" s="57"/>
    </row>
    <row r="879">
      <c r="A879" s="54"/>
      <c r="B879" s="55"/>
      <c r="C879" s="55"/>
      <c r="D879" s="55"/>
      <c r="E879" s="55"/>
      <c r="F879" s="56"/>
      <c r="G879" s="57"/>
    </row>
    <row r="880">
      <c r="A880" s="54"/>
      <c r="B880" s="55"/>
      <c r="C880" s="55"/>
      <c r="D880" s="55"/>
      <c r="E880" s="55"/>
      <c r="F880" s="56"/>
      <c r="G880" s="57"/>
    </row>
    <row r="881">
      <c r="A881" s="54"/>
      <c r="B881" s="55"/>
      <c r="C881" s="55"/>
      <c r="D881" s="55"/>
      <c r="E881" s="55"/>
      <c r="F881" s="56"/>
      <c r="G881" s="57"/>
    </row>
    <row r="882">
      <c r="A882" s="54"/>
      <c r="B882" s="55"/>
      <c r="C882" s="55"/>
      <c r="D882" s="55"/>
      <c r="E882" s="55"/>
      <c r="F882" s="56"/>
      <c r="G882" s="57"/>
    </row>
    <row r="883">
      <c r="A883" s="54"/>
      <c r="B883" s="55"/>
      <c r="C883" s="55"/>
      <c r="D883" s="55"/>
      <c r="E883" s="55"/>
      <c r="F883" s="56"/>
      <c r="G883" s="57"/>
    </row>
    <row r="884">
      <c r="A884" s="54"/>
      <c r="B884" s="55"/>
      <c r="C884" s="55"/>
      <c r="D884" s="55"/>
      <c r="E884" s="55"/>
      <c r="F884" s="56"/>
      <c r="G884" s="57"/>
    </row>
    <row r="885">
      <c r="A885" s="54"/>
      <c r="B885" s="55"/>
      <c r="C885" s="55"/>
      <c r="D885" s="55"/>
      <c r="E885" s="55"/>
      <c r="F885" s="56"/>
      <c r="G885" s="57"/>
    </row>
    <row r="886">
      <c r="A886" s="54"/>
      <c r="B886" s="55"/>
      <c r="C886" s="55"/>
      <c r="D886" s="55"/>
      <c r="E886" s="55"/>
      <c r="F886" s="56"/>
      <c r="G886" s="57"/>
    </row>
    <row r="887">
      <c r="A887" s="54"/>
      <c r="B887" s="55"/>
      <c r="C887" s="55"/>
      <c r="D887" s="55"/>
      <c r="E887" s="55"/>
      <c r="F887" s="56"/>
      <c r="G887" s="57"/>
    </row>
    <row r="888">
      <c r="A888" s="54"/>
      <c r="B888" s="55"/>
      <c r="C888" s="55"/>
      <c r="D888" s="55"/>
      <c r="E888" s="55"/>
      <c r="F888" s="56"/>
      <c r="G888" s="57"/>
    </row>
    <row r="889">
      <c r="A889" s="54"/>
      <c r="B889" s="55"/>
      <c r="C889" s="55"/>
      <c r="D889" s="55"/>
      <c r="E889" s="55"/>
      <c r="F889" s="56"/>
      <c r="G889" s="57"/>
    </row>
    <row r="890">
      <c r="A890" s="54"/>
      <c r="B890" s="55"/>
      <c r="C890" s="55"/>
      <c r="D890" s="55"/>
      <c r="E890" s="55"/>
      <c r="F890" s="56"/>
      <c r="G890" s="57"/>
    </row>
    <row r="891">
      <c r="A891" s="54"/>
      <c r="B891" s="55"/>
      <c r="C891" s="55"/>
      <c r="D891" s="55"/>
      <c r="E891" s="55"/>
      <c r="F891" s="56"/>
      <c r="G891" s="57"/>
    </row>
    <row r="892">
      <c r="A892" s="54"/>
      <c r="B892" s="55"/>
      <c r="C892" s="55"/>
      <c r="D892" s="55"/>
      <c r="E892" s="55"/>
      <c r="F892" s="56"/>
      <c r="G892" s="57"/>
    </row>
    <row r="893">
      <c r="A893" s="54"/>
      <c r="B893" s="55"/>
      <c r="C893" s="55"/>
      <c r="D893" s="55"/>
      <c r="E893" s="55"/>
      <c r="F893" s="56"/>
      <c r="G893" s="57"/>
    </row>
    <row r="894">
      <c r="A894" s="54"/>
      <c r="B894" s="55"/>
      <c r="C894" s="55"/>
      <c r="D894" s="55"/>
      <c r="E894" s="55"/>
      <c r="F894" s="56"/>
      <c r="G894" s="57"/>
    </row>
    <row r="895">
      <c r="A895" s="54"/>
      <c r="B895" s="55"/>
      <c r="C895" s="55"/>
      <c r="D895" s="55"/>
      <c r="E895" s="55"/>
      <c r="F895" s="56"/>
      <c r="G895" s="57"/>
    </row>
    <row r="896">
      <c r="A896" s="54"/>
      <c r="B896" s="55"/>
      <c r="C896" s="55"/>
      <c r="D896" s="55"/>
      <c r="E896" s="55"/>
      <c r="F896" s="56"/>
      <c r="G896" s="57"/>
    </row>
    <row r="897">
      <c r="A897" s="54"/>
      <c r="B897" s="55"/>
      <c r="C897" s="55"/>
      <c r="D897" s="55"/>
      <c r="E897" s="55"/>
      <c r="F897" s="56"/>
      <c r="G897" s="57"/>
    </row>
    <row r="898">
      <c r="A898" s="54"/>
      <c r="B898" s="55"/>
      <c r="C898" s="55"/>
      <c r="D898" s="55"/>
      <c r="E898" s="55"/>
      <c r="F898" s="56"/>
      <c r="G898" s="57"/>
    </row>
    <row r="899">
      <c r="A899" s="54"/>
      <c r="B899" s="55"/>
      <c r="C899" s="55"/>
      <c r="D899" s="55"/>
      <c r="E899" s="55"/>
      <c r="F899" s="56"/>
      <c r="G899" s="57"/>
    </row>
    <row r="900">
      <c r="A900" s="54"/>
      <c r="B900" s="55"/>
      <c r="C900" s="55"/>
      <c r="D900" s="55"/>
      <c r="E900" s="55"/>
      <c r="F900" s="56"/>
      <c r="G900" s="57"/>
    </row>
    <row r="901">
      <c r="A901" s="54"/>
      <c r="B901" s="55"/>
      <c r="C901" s="55"/>
      <c r="D901" s="55"/>
      <c r="E901" s="55"/>
      <c r="F901" s="56"/>
      <c r="G901" s="57"/>
    </row>
    <row r="902">
      <c r="A902" s="54"/>
      <c r="B902" s="55"/>
      <c r="C902" s="55"/>
      <c r="D902" s="55"/>
      <c r="E902" s="55"/>
      <c r="F902" s="56"/>
      <c r="G902" s="57"/>
    </row>
    <row r="903">
      <c r="A903" s="54"/>
      <c r="B903" s="55"/>
      <c r="C903" s="55"/>
      <c r="D903" s="55"/>
      <c r="E903" s="55"/>
      <c r="F903" s="56"/>
      <c r="G903" s="57"/>
    </row>
    <row r="904">
      <c r="A904" s="54"/>
      <c r="B904" s="55"/>
      <c r="C904" s="55"/>
      <c r="D904" s="55"/>
      <c r="E904" s="55"/>
      <c r="F904" s="56"/>
      <c r="G904" s="57"/>
    </row>
    <row r="905">
      <c r="A905" s="54"/>
      <c r="B905" s="55"/>
      <c r="C905" s="55"/>
      <c r="D905" s="55"/>
      <c r="E905" s="55"/>
      <c r="F905" s="56"/>
      <c r="G905" s="57"/>
    </row>
    <row r="906">
      <c r="A906" s="54"/>
      <c r="B906" s="55"/>
      <c r="C906" s="55"/>
      <c r="D906" s="55"/>
      <c r="E906" s="55"/>
      <c r="F906" s="56"/>
      <c r="G906" s="57"/>
    </row>
    <row r="907">
      <c r="A907" s="54"/>
      <c r="B907" s="55"/>
      <c r="C907" s="55"/>
      <c r="D907" s="55"/>
      <c r="E907" s="55"/>
      <c r="F907" s="56"/>
      <c r="G907" s="57"/>
    </row>
    <row r="908">
      <c r="A908" s="54"/>
      <c r="B908" s="55"/>
      <c r="C908" s="55"/>
      <c r="D908" s="55"/>
      <c r="E908" s="55"/>
      <c r="F908" s="56"/>
      <c r="G908" s="57"/>
    </row>
    <row r="909">
      <c r="A909" s="54"/>
      <c r="B909" s="55"/>
      <c r="C909" s="55"/>
      <c r="D909" s="55"/>
      <c r="E909" s="55"/>
      <c r="F909" s="56"/>
      <c r="G909" s="57"/>
    </row>
    <row r="910">
      <c r="A910" s="54"/>
      <c r="B910" s="55"/>
      <c r="C910" s="55"/>
      <c r="D910" s="55"/>
      <c r="E910" s="55"/>
      <c r="F910" s="56"/>
      <c r="G910" s="57"/>
    </row>
    <row r="911">
      <c r="A911" s="54"/>
      <c r="B911" s="55"/>
      <c r="C911" s="55"/>
      <c r="D911" s="55"/>
      <c r="E911" s="55"/>
      <c r="F911" s="56"/>
      <c r="G911" s="57"/>
    </row>
    <row r="912">
      <c r="A912" s="54"/>
      <c r="B912" s="55"/>
      <c r="C912" s="55"/>
      <c r="D912" s="55"/>
      <c r="E912" s="55"/>
      <c r="F912" s="56"/>
      <c r="G912" s="57"/>
    </row>
    <row r="913">
      <c r="A913" s="54"/>
      <c r="B913" s="55"/>
      <c r="C913" s="55"/>
      <c r="D913" s="55"/>
      <c r="E913" s="55"/>
      <c r="F913" s="56"/>
      <c r="G913" s="57"/>
    </row>
    <row r="914">
      <c r="A914" s="54"/>
      <c r="B914" s="55"/>
      <c r="C914" s="55"/>
      <c r="D914" s="55"/>
      <c r="E914" s="55"/>
      <c r="F914" s="56"/>
      <c r="G914" s="57"/>
    </row>
    <row r="915">
      <c r="A915" s="54"/>
      <c r="B915" s="55"/>
      <c r="C915" s="55"/>
      <c r="D915" s="55"/>
      <c r="E915" s="55"/>
      <c r="F915" s="56"/>
      <c r="G915" s="57"/>
    </row>
    <row r="916">
      <c r="A916" s="54"/>
      <c r="B916" s="55"/>
      <c r="C916" s="55"/>
      <c r="D916" s="55"/>
      <c r="E916" s="55"/>
      <c r="F916" s="56"/>
      <c r="G916" s="57"/>
    </row>
    <row r="917">
      <c r="A917" s="54"/>
      <c r="B917" s="55"/>
      <c r="C917" s="55"/>
      <c r="D917" s="55"/>
      <c r="E917" s="55"/>
      <c r="F917" s="56"/>
      <c r="G917" s="57"/>
    </row>
    <row r="918">
      <c r="A918" s="54"/>
      <c r="B918" s="55"/>
      <c r="C918" s="55"/>
      <c r="D918" s="55"/>
      <c r="E918" s="55"/>
      <c r="F918" s="56"/>
      <c r="G918" s="57"/>
    </row>
    <row r="919">
      <c r="A919" s="54"/>
      <c r="B919" s="55"/>
      <c r="C919" s="55"/>
      <c r="D919" s="55"/>
      <c r="E919" s="55"/>
      <c r="F919" s="56"/>
      <c r="G919" s="57"/>
    </row>
    <row r="920">
      <c r="A920" s="54"/>
      <c r="B920" s="55"/>
      <c r="C920" s="55"/>
      <c r="D920" s="55"/>
      <c r="E920" s="55"/>
      <c r="F920" s="56"/>
      <c r="G920" s="57"/>
    </row>
    <row r="921">
      <c r="A921" s="54"/>
      <c r="B921" s="55"/>
      <c r="C921" s="55"/>
      <c r="D921" s="55"/>
      <c r="E921" s="55"/>
      <c r="F921" s="56"/>
      <c r="G921" s="57"/>
    </row>
    <row r="922">
      <c r="A922" s="54"/>
      <c r="B922" s="55"/>
      <c r="C922" s="55"/>
      <c r="D922" s="55"/>
      <c r="E922" s="55"/>
      <c r="F922" s="56"/>
      <c r="G922" s="57"/>
    </row>
    <row r="923">
      <c r="A923" s="54"/>
      <c r="B923" s="55"/>
      <c r="C923" s="55"/>
      <c r="D923" s="55"/>
      <c r="E923" s="55"/>
      <c r="F923" s="56"/>
      <c r="G923" s="57"/>
    </row>
    <row r="924">
      <c r="A924" s="54"/>
      <c r="B924" s="55"/>
      <c r="C924" s="55"/>
      <c r="D924" s="55"/>
      <c r="E924" s="55"/>
      <c r="F924" s="56"/>
      <c r="G924" s="57"/>
    </row>
    <row r="925">
      <c r="A925" s="54"/>
      <c r="B925" s="55"/>
      <c r="C925" s="55"/>
      <c r="D925" s="55"/>
      <c r="E925" s="55"/>
      <c r="F925" s="56"/>
      <c r="G925" s="57"/>
    </row>
    <row r="926">
      <c r="A926" s="54"/>
      <c r="B926" s="55"/>
      <c r="C926" s="55"/>
      <c r="D926" s="55"/>
      <c r="E926" s="55"/>
      <c r="F926" s="56"/>
      <c r="G926" s="57"/>
    </row>
    <row r="927">
      <c r="A927" s="54"/>
      <c r="B927" s="55"/>
      <c r="C927" s="55"/>
      <c r="D927" s="55"/>
      <c r="E927" s="55"/>
      <c r="F927" s="56"/>
      <c r="G927" s="57"/>
    </row>
    <row r="928">
      <c r="A928" s="54"/>
      <c r="B928" s="55"/>
      <c r="C928" s="55"/>
      <c r="D928" s="55"/>
      <c r="E928" s="55"/>
      <c r="F928" s="56"/>
      <c r="G928" s="57"/>
    </row>
    <row r="929">
      <c r="A929" s="54"/>
      <c r="B929" s="55"/>
      <c r="C929" s="55"/>
      <c r="D929" s="55"/>
      <c r="E929" s="55"/>
      <c r="F929" s="56"/>
      <c r="G929" s="57"/>
    </row>
    <row r="930">
      <c r="A930" s="54"/>
      <c r="B930" s="55"/>
      <c r="C930" s="55"/>
      <c r="D930" s="55"/>
      <c r="E930" s="55"/>
      <c r="F930" s="56"/>
      <c r="G930" s="57"/>
    </row>
    <row r="931">
      <c r="A931" s="54"/>
      <c r="B931" s="55"/>
      <c r="C931" s="55"/>
      <c r="D931" s="55"/>
      <c r="E931" s="55"/>
      <c r="F931" s="56"/>
      <c r="G931" s="57"/>
    </row>
    <row r="932">
      <c r="A932" s="54"/>
      <c r="B932" s="55"/>
      <c r="C932" s="55"/>
      <c r="D932" s="55"/>
      <c r="E932" s="55"/>
      <c r="F932" s="56"/>
      <c r="G932" s="57"/>
    </row>
    <row r="933">
      <c r="A933" s="54"/>
      <c r="B933" s="55"/>
      <c r="C933" s="55"/>
      <c r="D933" s="55"/>
      <c r="E933" s="55"/>
      <c r="F933" s="56"/>
      <c r="G933" s="57"/>
    </row>
    <row r="934">
      <c r="A934" s="54"/>
      <c r="B934" s="55"/>
      <c r="C934" s="55"/>
      <c r="D934" s="55"/>
      <c r="E934" s="55"/>
      <c r="F934" s="56"/>
      <c r="G934" s="57"/>
    </row>
    <row r="935">
      <c r="A935" s="54"/>
      <c r="B935" s="55"/>
      <c r="C935" s="55"/>
      <c r="D935" s="55"/>
      <c r="E935" s="55"/>
      <c r="F935" s="56"/>
      <c r="G935" s="57"/>
    </row>
    <row r="936">
      <c r="A936" s="54"/>
      <c r="B936" s="55"/>
      <c r="C936" s="55"/>
      <c r="D936" s="55"/>
      <c r="E936" s="55"/>
      <c r="F936" s="56"/>
      <c r="G936" s="57"/>
    </row>
    <row r="937">
      <c r="A937" s="54"/>
      <c r="B937" s="55"/>
      <c r="C937" s="55"/>
      <c r="D937" s="55"/>
      <c r="E937" s="55"/>
      <c r="F937" s="56"/>
      <c r="G937" s="57"/>
    </row>
    <row r="938">
      <c r="A938" s="54"/>
      <c r="B938" s="55"/>
      <c r="C938" s="55"/>
      <c r="D938" s="55"/>
      <c r="E938" s="55"/>
      <c r="F938" s="56"/>
      <c r="G938" s="57"/>
    </row>
    <row r="939">
      <c r="A939" s="54"/>
      <c r="B939" s="55"/>
      <c r="C939" s="55"/>
      <c r="D939" s="55"/>
      <c r="E939" s="55"/>
      <c r="F939" s="56"/>
      <c r="G939" s="57"/>
    </row>
    <row r="940">
      <c r="A940" s="54"/>
      <c r="B940" s="55"/>
      <c r="C940" s="55"/>
      <c r="D940" s="55"/>
      <c r="E940" s="55"/>
      <c r="F940" s="56"/>
      <c r="G940" s="57"/>
    </row>
    <row r="941">
      <c r="A941" s="54"/>
      <c r="B941" s="55"/>
      <c r="C941" s="55"/>
      <c r="D941" s="55"/>
      <c r="E941" s="55"/>
      <c r="F941" s="56"/>
      <c r="G941" s="57"/>
    </row>
    <row r="942">
      <c r="A942" s="54"/>
      <c r="B942" s="55"/>
      <c r="C942" s="55"/>
      <c r="D942" s="55"/>
      <c r="E942" s="55"/>
      <c r="F942" s="56"/>
      <c r="G942" s="57"/>
    </row>
    <row r="943">
      <c r="A943" s="54"/>
      <c r="B943" s="55"/>
      <c r="C943" s="55"/>
      <c r="D943" s="55"/>
      <c r="E943" s="55"/>
      <c r="F943" s="56"/>
      <c r="G943" s="57"/>
    </row>
    <row r="944">
      <c r="A944" s="54"/>
      <c r="B944" s="55"/>
      <c r="C944" s="55"/>
      <c r="D944" s="55"/>
      <c r="E944" s="55"/>
      <c r="F944" s="56"/>
      <c r="G944" s="57"/>
    </row>
    <row r="945">
      <c r="A945" s="54"/>
      <c r="B945" s="55"/>
      <c r="C945" s="55"/>
      <c r="D945" s="55"/>
      <c r="E945" s="55"/>
      <c r="F945" s="56"/>
      <c r="G945" s="57"/>
    </row>
    <row r="946">
      <c r="A946" s="54"/>
      <c r="B946" s="55"/>
      <c r="C946" s="55"/>
      <c r="D946" s="55"/>
      <c r="E946" s="55"/>
      <c r="F946" s="56"/>
      <c r="G946" s="57"/>
    </row>
    <row r="947">
      <c r="A947" s="54"/>
      <c r="B947" s="55"/>
      <c r="C947" s="55"/>
      <c r="D947" s="55"/>
      <c r="E947" s="55"/>
      <c r="F947" s="56"/>
      <c r="G947" s="57"/>
    </row>
    <row r="948">
      <c r="A948" s="54"/>
      <c r="B948" s="55"/>
      <c r="C948" s="55"/>
      <c r="D948" s="55"/>
      <c r="E948" s="55"/>
      <c r="F948" s="56"/>
      <c r="G948" s="57"/>
    </row>
    <row r="949">
      <c r="A949" s="54"/>
      <c r="B949" s="55"/>
      <c r="C949" s="55"/>
      <c r="D949" s="55"/>
      <c r="E949" s="55"/>
      <c r="F949" s="56"/>
      <c r="G949" s="57"/>
    </row>
    <row r="950">
      <c r="A950" s="54"/>
      <c r="B950" s="55"/>
      <c r="C950" s="55"/>
      <c r="D950" s="55"/>
      <c r="E950" s="55"/>
      <c r="F950" s="56"/>
      <c r="G950" s="57"/>
    </row>
    <row r="951">
      <c r="A951" s="54"/>
      <c r="B951" s="55"/>
      <c r="C951" s="55"/>
      <c r="D951" s="55"/>
      <c r="E951" s="55"/>
      <c r="F951" s="56"/>
      <c r="G951" s="57"/>
    </row>
    <row r="952">
      <c r="A952" s="54"/>
      <c r="B952" s="55"/>
      <c r="C952" s="55"/>
      <c r="D952" s="55"/>
      <c r="E952" s="55"/>
      <c r="F952" s="56"/>
      <c r="G952" s="57"/>
    </row>
    <row r="953">
      <c r="A953" s="54"/>
      <c r="B953" s="55"/>
      <c r="C953" s="55"/>
      <c r="D953" s="55"/>
      <c r="E953" s="55"/>
      <c r="F953" s="56"/>
      <c r="G953" s="57"/>
    </row>
    <row r="954">
      <c r="A954" s="54"/>
      <c r="B954" s="55"/>
      <c r="C954" s="55"/>
      <c r="D954" s="55"/>
      <c r="E954" s="55"/>
      <c r="F954" s="56"/>
      <c r="G954" s="57"/>
    </row>
    <row r="955">
      <c r="A955" s="54"/>
      <c r="B955" s="55"/>
      <c r="C955" s="55"/>
      <c r="D955" s="55"/>
      <c r="E955" s="55"/>
      <c r="F955" s="56"/>
      <c r="G955" s="57"/>
    </row>
    <row r="956">
      <c r="A956" s="54"/>
      <c r="B956" s="55"/>
      <c r="C956" s="55"/>
      <c r="D956" s="55"/>
      <c r="E956" s="55"/>
      <c r="F956" s="56"/>
      <c r="G956" s="57"/>
    </row>
    <row r="957">
      <c r="A957" s="54"/>
      <c r="B957" s="55"/>
      <c r="C957" s="55"/>
      <c r="D957" s="55"/>
      <c r="E957" s="55"/>
      <c r="F957" s="56"/>
      <c r="G957" s="57"/>
    </row>
    <row r="958">
      <c r="A958" s="54"/>
      <c r="B958" s="55"/>
      <c r="C958" s="55"/>
      <c r="D958" s="55"/>
      <c r="E958" s="55"/>
      <c r="F958" s="56"/>
      <c r="G958" s="57"/>
    </row>
    <row r="959">
      <c r="A959" s="54"/>
      <c r="B959" s="55"/>
      <c r="C959" s="55"/>
      <c r="D959" s="55"/>
      <c r="E959" s="55"/>
      <c r="F959" s="56"/>
      <c r="G959" s="57"/>
    </row>
    <row r="960">
      <c r="A960" s="54"/>
      <c r="B960" s="55"/>
      <c r="C960" s="55"/>
      <c r="D960" s="55"/>
      <c r="E960" s="55"/>
      <c r="F960" s="56"/>
      <c r="G960" s="57"/>
    </row>
    <row r="961">
      <c r="A961" s="54"/>
      <c r="B961" s="55"/>
      <c r="C961" s="55"/>
      <c r="D961" s="55"/>
      <c r="E961" s="55"/>
      <c r="F961" s="56"/>
      <c r="G961" s="57"/>
    </row>
    <row r="962">
      <c r="A962" s="54"/>
      <c r="B962" s="55"/>
      <c r="C962" s="55"/>
      <c r="D962" s="55"/>
      <c r="E962" s="55"/>
      <c r="F962" s="56"/>
      <c r="G962" s="57"/>
    </row>
    <row r="963">
      <c r="A963" s="54"/>
      <c r="B963" s="55"/>
      <c r="C963" s="55"/>
      <c r="D963" s="55"/>
      <c r="E963" s="55"/>
      <c r="F963" s="56"/>
      <c r="G963" s="57"/>
    </row>
    <row r="964">
      <c r="A964" s="54"/>
      <c r="B964" s="55"/>
      <c r="C964" s="55"/>
      <c r="D964" s="55"/>
      <c r="E964" s="55"/>
      <c r="F964" s="56"/>
      <c r="G964" s="57"/>
    </row>
    <row r="965">
      <c r="A965" s="54"/>
      <c r="B965" s="55"/>
      <c r="C965" s="55"/>
      <c r="D965" s="55"/>
      <c r="E965" s="55"/>
      <c r="F965" s="56"/>
      <c r="G965" s="57"/>
    </row>
    <row r="966">
      <c r="A966" s="54"/>
      <c r="B966" s="55"/>
      <c r="C966" s="55"/>
      <c r="D966" s="55"/>
      <c r="E966" s="55"/>
      <c r="F966" s="56"/>
      <c r="G966" s="57"/>
    </row>
    <row r="967">
      <c r="A967" s="54"/>
      <c r="B967" s="55"/>
      <c r="C967" s="55"/>
      <c r="D967" s="55"/>
      <c r="E967" s="55"/>
      <c r="F967" s="56"/>
      <c r="G967" s="57"/>
    </row>
    <row r="968">
      <c r="A968" s="54"/>
      <c r="B968" s="55"/>
      <c r="C968" s="55"/>
      <c r="D968" s="55"/>
      <c r="E968" s="55"/>
      <c r="F968" s="56"/>
      <c r="G968" s="57"/>
    </row>
    <row r="969">
      <c r="A969" s="54"/>
      <c r="B969" s="55"/>
      <c r="C969" s="55"/>
      <c r="D969" s="55"/>
      <c r="E969" s="55"/>
      <c r="F969" s="56"/>
      <c r="G969" s="57"/>
    </row>
    <row r="970">
      <c r="A970" s="54"/>
      <c r="B970" s="55"/>
      <c r="C970" s="55"/>
      <c r="D970" s="55"/>
      <c r="E970" s="55"/>
      <c r="F970" s="56"/>
      <c r="G970" s="57"/>
    </row>
    <row r="971">
      <c r="A971" s="54"/>
      <c r="B971" s="55"/>
      <c r="C971" s="55"/>
      <c r="D971" s="55"/>
      <c r="E971" s="55"/>
      <c r="F971" s="56"/>
      <c r="G971" s="57"/>
    </row>
    <row r="972">
      <c r="A972" s="54"/>
      <c r="B972" s="55"/>
      <c r="C972" s="55"/>
      <c r="D972" s="55"/>
      <c r="E972" s="55"/>
      <c r="F972" s="56"/>
      <c r="G972" s="57"/>
    </row>
    <row r="973">
      <c r="A973" s="54"/>
      <c r="B973" s="55"/>
      <c r="C973" s="55"/>
      <c r="D973" s="55"/>
      <c r="E973" s="55"/>
      <c r="F973" s="56"/>
      <c r="G973" s="57"/>
    </row>
    <row r="974">
      <c r="A974" s="54"/>
      <c r="B974" s="55"/>
      <c r="C974" s="55"/>
      <c r="D974" s="55"/>
      <c r="E974" s="55"/>
      <c r="F974" s="56"/>
      <c r="G974" s="57"/>
    </row>
    <row r="975">
      <c r="A975" s="54"/>
      <c r="B975" s="55"/>
      <c r="C975" s="55"/>
      <c r="D975" s="55"/>
      <c r="E975" s="55"/>
      <c r="F975" s="56"/>
      <c r="G975" s="57"/>
    </row>
    <row r="976">
      <c r="A976" s="54"/>
      <c r="B976" s="55"/>
      <c r="C976" s="55"/>
      <c r="D976" s="55"/>
      <c r="E976" s="55"/>
      <c r="F976" s="56"/>
      <c r="G976" s="57"/>
    </row>
    <row r="977">
      <c r="A977" s="54"/>
      <c r="B977" s="55"/>
      <c r="C977" s="55"/>
      <c r="D977" s="55"/>
      <c r="E977" s="55"/>
      <c r="F977" s="56"/>
      <c r="G977" s="57"/>
    </row>
    <row r="978">
      <c r="A978" s="54"/>
      <c r="B978" s="55"/>
      <c r="C978" s="55"/>
      <c r="D978" s="55"/>
      <c r="E978" s="55"/>
      <c r="F978" s="56"/>
      <c r="G978" s="57"/>
    </row>
    <row r="979">
      <c r="A979" s="54"/>
      <c r="B979" s="55"/>
      <c r="C979" s="55"/>
      <c r="D979" s="55"/>
      <c r="E979" s="55"/>
      <c r="F979" s="56"/>
      <c r="G979" s="57"/>
    </row>
    <row r="980">
      <c r="A980" s="54"/>
      <c r="B980" s="55"/>
      <c r="C980" s="55"/>
      <c r="D980" s="55"/>
      <c r="E980" s="55"/>
      <c r="F980" s="56"/>
      <c r="G980" s="57"/>
    </row>
    <row r="981">
      <c r="A981" s="54"/>
      <c r="B981" s="55"/>
      <c r="C981" s="55"/>
      <c r="D981" s="55"/>
      <c r="E981" s="55"/>
      <c r="F981" s="56"/>
      <c r="G981" s="57"/>
    </row>
    <row r="982">
      <c r="A982" s="54"/>
      <c r="B982" s="55"/>
      <c r="C982" s="55"/>
      <c r="D982" s="55"/>
      <c r="E982" s="55"/>
      <c r="F982" s="56"/>
      <c r="G982" s="57"/>
    </row>
    <row r="983">
      <c r="A983" s="54"/>
      <c r="B983" s="55"/>
      <c r="C983" s="55"/>
      <c r="D983" s="55"/>
      <c r="E983" s="55"/>
      <c r="F983" s="56"/>
      <c r="G983" s="57"/>
    </row>
    <row r="984">
      <c r="A984" s="54"/>
      <c r="B984" s="55"/>
      <c r="C984" s="55"/>
      <c r="D984" s="55"/>
      <c r="E984" s="55"/>
      <c r="F984" s="56"/>
      <c r="G984" s="57"/>
    </row>
    <row r="985">
      <c r="A985" s="54"/>
      <c r="B985" s="55"/>
      <c r="C985" s="55"/>
      <c r="D985" s="55"/>
      <c r="E985" s="55"/>
      <c r="F985" s="56"/>
      <c r="G985" s="57"/>
    </row>
    <row r="986">
      <c r="A986" s="54"/>
      <c r="B986" s="55"/>
      <c r="C986" s="55"/>
      <c r="D986" s="55"/>
      <c r="E986" s="55"/>
      <c r="F986" s="56"/>
      <c r="G986" s="57"/>
    </row>
    <row r="987">
      <c r="A987" s="54"/>
      <c r="B987" s="55"/>
      <c r="C987" s="55"/>
      <c r="D987" s="55"/>
      <c r="E987" s="55"/>
      <c r="F987" s="56"/>
      <c r="G987" s="57"/>
    </row>
    <row r="988">
      <c r="A988" s="54"/>
      <c r="B988" s="55"/>
      <c r="C988" s="55"/>
      <c r="D988" s="55"/>
      <c r="E988" s="55"/>
      <c r="F988" s="56"/>
      <c r="G988" s="57"/>
    </row>
    <row r="989">
      <c r="A989" s="54"/>
      <c r="B989" s="55"/>
      <c r="C989" s="55"/>
      <c r="D989" s="55"/>
      <c r="E989" s="55"/>
      <c r="F989" s="56"/>
      <c r="G989" s="57"/>
    </row>
    <row r="990">
      <c r="A990" s="54"/>
      <c r="B990" s="55"/>
      <c r="C990" s="55"/>
      <c r="D990" s="55"/>
      <c r="E990" s="55"/>
      <c r="F990" s="56"/>
      <c r="G990" s="57"/>
    </row>
    <row r="991">
      <c r="A991" s="54"/>
      <c r="B991" s="55"/>
      <c r="C991" s="55"/>
      <c r="D991" s="55"/>
      <c r="E991" s="55"/>
      <c r="F991" s="56"/>
      <c r="G991" s="57"/>
    </row>
    <row r="992">
      <c r="A992" s="54"/>
      <c r="B992" s="55"/>
      <c r="C992" s="55"/>
      <c r="D992" s="55"/>
      <c r="E992" s="55"/>
      <c r="F992" s="56"/>
      <c r="G992" s="57"/>
    </row>
    <row r="993">
      <c r="A993" s="54"/>
      <c r="B993" s="55"/>
      <c r="C993" s="55"/>
      <c r="D993" s="55"/>
      <c r="E993" s="55"/>
      <c r="F993" s="56"/>
      <c r="G993" s="57"/>
    </row>
    <row r="994">
      <c r="A994" s="54"/>
      <c r="B994" s="55"/>
      <c r="C994" s="55"/>
      <c r="D994" s="55"/>
      <c r="E994" s="55"/>
      <c r="F994" s="56"/>
      <c r="G994" s="57"/>
    </row>
    <row r="995">
      <c r="A995" s="54"/>
      <c r="B995" s="55"/>
      <c r="C995" s="55"/>
      <c r="D995" s="55"/>
      <c r="E995" s="55"/>
      <c r="F995" s="56"/>
      <c r="G995" s="57"/>
    </row>
    <row r="996">
      <c r="A996" s="54"/>
      <c r="B996" s="55"/>
      <c r="C996" s="55"/>
      <c r="D996" s="55"/>
      <c r="E996" s="55"/>
      <c r="F996" s="56"/>
      <c r="G996" s="57"/>
    </row>
    <row r="997">
      <c r="A997" s="54"/>
      <c r="B997" s="55"/>
      <c r="C997" s="55"/>
      <c r="D997" s="55"/>
      <c r="E997" s="55"/>
      <c r="F997" s="56"/>
      <c r="G997" s="57"/>
    </row>
    <row r="998">
      <c r="A998" s="54"/>
      <c r="B998" s="55"/>
      <c r="C998" s="55"/>
      <c r="D998" s="55"/>
      <c r="E998" s="55"/>
      <c r="F998" s="56"/>
      <c r="G998" s="57"/>
    </row>
    <row r="999">
      <c r="A999" s="54"/>
      <c r="B999" s="55"/>
      <c r="C999" s="55"/>
      <c r="D999" s="55"/>
      <c r="E999" s="55"/>
      <c r="F999" s="56"/>
      <c r="G999" s="57"/>
    </row>
    <row r="1000">
      <c r="A1000" s="54"/>
      <c r="B1000" s="55"/>
      <c r="C1000" s="55"/>
      <c r="D1000" s="55"/>
      <c r="E1000" s="55"/>
      <c r="F1000" s="56"/>
      <c r="G1000" s="57"/>
    </row>
    <row r="1001">
      <c r="A1001" s="54"/>
      <c r="B1001" s="55"/>
      <c r="C1001" s="55"/>
      <c r="D1001" s="55"/>
      <c r="E1001" s="55"/>
      <c r="F1001" s="56"/>
      <c r="G1001" s="57"/>
    </row>
    <row r="1002">
      <c r="A1002" s="54"/>
      <c r="B1002" s="55"/>
      <c r="C1002" s="55"/>
      <c r="D1002" s="55"/>
      <c r="E1002" s="55"/>
      <c r="F1002" s="56"/>
      <c r="G1002" s="57"/>
    </row>
    <row r="1003">
      <c r="A1003" s="54"/>
      <c r="B1003" s="55"/>
      <c r="C1003" s="55"/>
      <c r="D1003" s="55"/>
      <c r="E1003" s="55"/>
      <c r="F1003" s="56"/>
      <c r="G1003" s="57"/>
    </row>
    <row r="1004">
      <c r="A1004" s="54"/>
      <c r="B1004" s="55"/>
      <c r="C1004" s="55"/>
      <c r="D1004" s="55"/>
      <c r="E1004" s="55"/>
      <c r="F1004" s="56"/>
      <c r="G1004" s="57"/>
    </row>
    <row r="1005">
      <c r="A1005" s="54"/>
      <c r="B1005" s="55"/>
      <c r="C1005" s="55"/>
      <c r="D1005" s="55"/>
      <c r="E1005" s="55"/>
      <c r="F1005" s="56"/>
      <c r="G1005" s="57"/>
    </row>
    <row r="1006">
      <c r="A1006" s="54"/>
      <c r="B1006" s="55"/>
      <c r="C1006" s="55"/>
      <c r="D1006" s="55"/>
      <c r="E1006" s="55"/>
      <c r="F1006" s="56"/>
      <c r="G1006" s="57"/>
    </row>
    <row r="1007">
      <c r="A1007" s="54"/>
      <c r="B1007" s="55"/>
      <c r="C1007" s="55"/>
      <c r="D1007" s="55"/>
      <c r="E1007" s="55"/>
      <c r="F1007" s="56"/>
      <c r="G1007" s="57"/>
    </row>
    <row r="1008">
      <c r="A1008" s="54"/>
      <c r="B1008" s="55"/>
      <c r="C1008" s="55"/>
      <c r="D1008" s="55"/>
      <c r="E1008" s="55"/>
      <c r="F1008" s="56"/>
      <c r="G1008" s="57"/>
    </row>
    <row r="1009">
      <c r="A1009" s="54"/>
      <c r="B1009" s="55"/>
      <c r="C1009" s="55"/>
      <c r="D1009" s="55"/>
      <c r="E1009" s="55"/>
      <c r="F1009" s="56"/>
      <c r="G1009" s="57"/>
    </row>
    <row r="1010">
      <c r="A1010" s="54"/>
      <c r="B1010" s="55"/>
      <c r="C1010" s="55"/>
      <c r="D1010" s="55"/>
      <c r="E1010" s="55"/>
      <c r="F1010" s="56"/>
      <c r="G1010" s="57"/>
    </row>
    <row r="1011">
      <c r="A1011" s="54"/>
      <c r="B1011" s="55"/>
      <c r="C1011" s="55"/>
      <c r="D1011" s="55"/>
      <c r="E1011" s="55"/>
      <c r="F1011" s="56"/>
      <c r="G1011" s="57"/>
    </row>
    <row r="1012">
      <c r="A1012" s="54"/>
      <c r="B1012" s="55"/>
      <c r="C1012" s="55"/>
      <c r="D1012" s="55"/>
      <c r="E1012" s="55"/>
      <c r="F1012" s="56"/>
      <c r="G1012" s="57"/>
    </row>
    <row r="1013">
      <c r="A1013" s="54"/>
      <c r="B1013" s="55"/>
      <c r="C1013" s="55"/>
      <c r="D1013" s="55"/>
      <c r="E1013" s="55"/>
      <c r="F1013" s="56"/>
      <c r="G1013" s="57"/>
    </row>
    <row r="1014">
      <c r="A1014" s="54"/>
      <c r="B1014" s="55"/>
      <c r="C1014" s="55"/>
      <c r="D1014" s="55"/>
      <c r="E1014" s="55"/>
      <c r="F1014" s="56"/>
      <c r="G1014" s="57"/>
    </row>
    <row r="1015">
      <c r="A1015" s="54"/>
      <c r="B1015" s="55"/>
      <c r="C1015" s="55"/>
      <c r="D1015" s="55"/>
      <c r="E1015" s="55"/>
      <c r="F1015" s="56"/>
      <c r="G1015" s="57"/>
    </row>
    <row r="1016">
      <c r="A1016" s="54"/>
      <c r="B1016" s="55"/>
      <c r="C1016" s="55"/>
      <c r="D1016" s="55"/>
      <c r="E1016" s="55"/>
      <c r="F1016" s="56"/>
      <c r="G1016" s="57"/>
    </row>
    <row r="1017">
      <c r="A1017" s="54"/>
      <c r="B1017" s="55"/>
      <c r="C1017" s="55"/>
      <c r="D1017" s="55"/>
      <c r="E1017" s="55"/>
      <c r="F1017" s="56"/>
      <c r="G1017" s="57"/>
    </row>
    <row r="1018">
      <c r="A1018" s="54"/>
      <c r="B1018" s="55"/>
      <c r="C1018" s="55"/>
      <c r="D1018" s="55"/>
      <c r="E1018" s="55"/>
      <c r="F1018" s="56"/>
      <c r="G1018" s="57"/>
    </row>
    <row r="1019">
      <c r="A1019" s="54"/>
      <c r="B1019" s="55"/>
      <c r="C1019" s="55"/>
      <c r="D1019" s="55"/>
      <c r="E1019" s="55"/>
      <c r="F1019" s="56"/>
      <c r="G1019" s="57"/>
    </row>
    <row r="1020">
      <c r="A1020" s="54"/>
      <c r="B1020" s="55"/>
      <c r="C1020" s="55"/>
      <c r="D1020" s="55"/>
      <c r="E1020" s="55"/>
      <c r="F1020" s="56"/>
      <c r="G1020" s="57"/>
    </row>
    <row r="1021">
      <c r="A1021" s="54"/>
      <c r="B1021" s="55"/>
      <c r="C1021" s="55"/>
      <c r="D1021" s="55"/>
      <c r="E1021" s="55"/>
      <c r="F1021" s="56"/>
      <c r="G1021" s="57"/>
    </row>
    <row r="1022">
      <c r="A1022" s="54"/>
      <c r="B1022" s="55"/>
      <c r="C1022" s="55"/>
      <c r="D1022" s="55"/>
      <c r="E1022" s="55"/>
      <c r="F1022" s="56"/>
      <c r="G1022" s="57"/>
    </row>
    <row r="1023">
      <c r="A1023" s="54"/>
      <c r="B1023" s="55"/>
      <c r="C1023" s="55"/>
      <c r="D1023" s="55"/>
      <c r="E1023" s="55"/>
      <c r="F1023" s="56"/>
      <c r="G1023" s="57"/>
    </row>
    <row r="1024">
      <c r="A1024" s="54"/>
      <c r="B1024" s="55"/>
      <c r="C1024" s="55"/>
      <c r="D1024" s="55"/>
      <c r="E1024" s="55"/>
      <c r="F1024" s="56"/>
      <c r="G1024" s="57"/>
    </row>
    <row r="1025">
      <c r="A1025" s="54"/>
      <c r="B1025" s="55"/>
      <c r="C1025" s="55"/>
      <c r="D1025" s="55"/>
      <c r="E1025" s="55"/>
      <c r="F1025" s="56"/>
      <c r="G1025" s="57"/>
    </row>
    <row r="1026">
      <c r="A1026" s="54"/>
      <c r="B1026" s="55"/>
      <c r="C1026" s="55"/>
      <c r="D1026" s="55"/>
      <c r="E1026" s="55"/>
      <c r="F1026" s="56"/>
      <c r="G1026" s="57"/>
    </row>
  </sheetData>
  <dataValidations>
    <dataValidation type="list" allowBlank="1" showErrorMessage="1" sqref="B3 B6 B15 B21 B29 B36 B42 B50 B56 B64">
      <formula1>"Rafael,Estefania,Nielda"</formula1>
    </dataValidation>
    <dataValidation type="list" allowBlank="1" showErrorMessage="1" sqref="B4 B7:B13 B16:B20 B22:B28 B30:B34 B37:B41 B43:B48 B51:B55 B57:B63 B65:B72 B74:B80">
      <formula1>"Waiting,Planning,Writing,To Review,Fixing PR,To Approve,Merged 🎉,Blocked"</formula1>
    </dataValidation>
    <dataValidation type="list" allowBlank="1" sqref="C2:C110">
      <formula1>"Chapter,Module,Warm-up,Learn,Practice,Review,Quiz"</formula1>
    </dataValidation>
  </dataValidations>
  <hyperlinks>
    <hyperlink r:id="rId2" ref="G3"/>
    <hyperlink r:id="rId3" ref="G6"/>
    <hyperlink r:id="rId4" ref="G10"/>
    <hyperlink r:id="rId5" ref="G15"/>
    <hyperlink r:id="rId6" ref="G21"/>
    <hyperlink r:id="rId7" ref="G22"/>
    <hyperlink r:id="rId8" ref="G23"/>
    <hyperlink r:id="rId9" ref="G26"/>
    <hyperlink r:id="rId10" ref="G29"/>
    <hyperlink r:id="rId11" ref="G36"/>
    <hyperlink r:id="rId12" ref="G50"/>
    <hyperlink r:id="rId13" ref="G64"/>
  </hyperlinks>
  <drawing r:id="rId14"/>
  <legacyDrawing r:id="rId15"/>
  <tableParts count="1">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8.63"/>
    <col customWidth="1" min="3" max="3" width="84.5"/>
    <col customWidth="1" min="4" max="4" width="63.0"/>
    <col customWidth="1" min="5" max="5" width="40.5"/>
    <col customWidth="1" min="6" max="6" width="0.38"/>
    <col customWidth="1" min="7" max="7" width="19.0"/>
    <col customWidth="1" min="8" max="8" width="5.63"/>
    <col customWidth="1" min="9" max="9" width="31.25"/>
    <col customWidth="1" min="10" max="10" width="6.0"/>
    <col customWidth="1" min="11" max="11" width="23.13"/>
    <col customWidth="1" min="12" max="12" width="5.88"/>
    <col customWidth="1" min="13" max="13" width="30.63"/>
    <col customWidth="1" min="14" max="14" width="5.63"/>
    <col customWidth="1" min="15" max="15" width="44.0"/>
    <col customWidth="1" min="16" max="16" width="6.0"/>
    <col customWidth="1" min="17" max="17" width="17.0"/>
    <col customWidth="1" min="18" max="18" width="4.5"/>
    <col customWidth="1" min="19" max="19" width="34.0"/>
    <col customWidth="1" min="20" max="20" width="17.63"/>
    <col customWidth="1" min="21" max="21" width="24.63"/>
    <col customWidth="1" min="22" max="22" width="4.88"/>
    <col customWidth="1" min="23" max="23" width="28.88"/>
    <col customWidth="1" min="24" max="24" width="17.88"/>
    <col customWidth="1" min="25" max="25" width="34.75"/>
    <col customWidth="1" min="26" max="26" width="4.5"/>
    <col customWidth="1" min="27" max="27" width="19.0"/>
    <col customWidth="1" min="28" max="28" width="5.63"/>
    <col customWidth="1" min="29" max="29" width="31.25"/>
    <col customWidth="1" min="30" max="30" width="6.0"/>
    <col customWidth="1" min="31" max="31" width="23.13"/>
    <col customWidth="1" min="32" max="32" width="5.88"/>
    <col customWidth="1" min="33" max="33" width="30.63"/>
  </cols>
  <sheetData>
    <row r="1">
      <c r="A1" s="58"/>
      <c r="B1" s="58"/>
      <c r="C1" s="58"/>
      <c r="D1" s="58"/>
      <c r="E1" s="58"/>
      <c r="F1" s="59"/>
      <c r="G1" s="59"/>
      <c r="H1" s="59"/>
      <c r="I1" s="59"/>
      <c r="J1" s="59"/>
      <c r="K1" s="59"/>
      <c r="L1" s="59"/>
      <c r="M1" s="59"/>
      <c r="N1" s="59"/>
      <c r="O1" s="58"/>
      <c r="P1" s="58"/>
      <c r="Q1" s="58"/>
      <c r="R1" s="58"/>
      <c r="S1" s="58"/>
      <c r="T1" s="58"/>
      <c r="U1" s="58"/>
      <c r="V1" s="58"/>
      <c r="W1" s="58"/>
      <c r="X1" s="59"/>
      <c r="Y1" s="59"/>
      <c r="Z1" s="59"/>
      <c r="AA1" s="59"/>
      <c r="AB1" s="59"/>
      <c r="AC1" s="59"/>
      <c r="AD1" s="59"/>
      <c r="AE1" s="59"/>
      <c r="AF1" s="59"/>
      <c r="AG1" s="59"/>
    </row>
    <row r="2">
      <c r="A2" s="60" t="s">
        <v>1008</v>
      </c>
      <c r="B2" s="61"/>
      <c r="C2" s="61"/>
      <c r="D2" s="61"/>
      <c r="E2" s="61"/>
      <c r="F2" s="62"/>
      <c r="G2" s="59"/>
      <c r="H2" s="59"/>
      <c r="I2" s="59"/>
      <c r="J2" s="59"/>
      <c r="K2" s="59"/>
      <c r="L2" s="59"/>
      <c r="M2" s="59"/>
      <c r="N2" s="59"/>
      <c r="O2" s="63"/>
      <c r="X2" s="59"/>
      <c r="Y2" s="59"/>
      <c r="Z2" s="59"/>
      <c r="AA2" s="59"/>
      <c r="AB2" s="59"/>
      <c r="AC2" s="59"/>
      <c r="AD2" s="59"/>
      <c r="AE2" s="59"/>
      <c r="AF2" s="59"/>
      <c r="AG2" s="59"/>
    </row>
    <row r="3">
      <c r="A3" s="64" t="s">
        <v>1009</v>
      </c>
      <c r="B3" s="61"/>
      <c r="C3" s="61"/>
      <c r="D3" s="61"/>
      <c r="E3" s="61"/>
      <c r="F3" s="62"/>
      <c r="G3" s="59"/>
      <c r="H3" s="59"/>
      <c r="I3" s="59"/>
      <c r="J3" s="59"/>
      <c r="K3" s="59"/>
      <c r="L3" s="59"/>
      <c r="M3" s="59"/>
      <c r="N3" s="59"/>
      <c r="O3" s="65"/>
      <c r="X3" s="59"/>
      <c r="Y3" s="59"/>
      <c r="Z3" s="59"/>
      <c r="AA3" s="59"/>
      <c r="AB3" s="59"/>
      <c r="AC3" s="59"/>
      <c r="AD3" s="59"/>
      <c r="AE3" s="59"/>
      <c r="AF3" s="59"/>
      <c r="AG3" s="59"/>
    </row>
    <row r="4">
      <c r="A4" s="66" t="s">
        <v>1010</v>
      </c>
      <c r="G4" s="59"/>
      <c r="H4" s="59"/>
      <c r="I4" s="59"/>
      <c r="J4" s="59"/>
      <c r="K4" s="59"/>
      <c r="L4" s="59"/>
      <c r="M4" s="59"/>
      <c r="N4" s="59"/>
      <c r="O4" s="66"/>
      <c r="X4" s="59"/>
      <c r="Y4" s="59"/>
      <c r="Z4" s="59"/>
      <c r="AA4" s="59"/>
      <c r="AB4" s="59"/>
      <c r="AC4" s="59"/>
      <c r="AD4" s="59"/>
      <c r="AE4" s="59"/>
      <c r="AF4" s="59"/>
      <c r="AG4" s="59"/>
    </row>
    <row r="5">
      <c r="A5" s="67" t="s">
        <v>1011</v>
      </c>
      <c r="B5" s="68" t="str">
        <f>'Chapter Status'!D36</f>
        <v>Numbers 10 to 29</v>
      </c>
      <c r="C5" s="68"/>
      <c r="D5" s="68"/>
      <c r="E5" s="68"/>
      <c r="F5" s="69"/>
      <c r="G5" s="70"/>
      <c r="H5" s="70"/>
      <c r="I5" s="70"/>
      <c r="J5" s="70"/>
      <c r="K5" s="70"/>
      <c r="L5" s="70"/>
      <c r="M5" s="70"/>
      <c r="N5" s="70"/>
      <c r="O5" s="71"/>
      <c r="P5" s="71"/>
      <c r="Q5" s="71"/>
      <c r="R5" s="71"/>
      <c r="S5" s="71"/>
      <c r="T5" s="71"/>
      <c r="U5" s="71"/>
      <c r="V5" s="71"/>
      <c r="W5" s="71"/>
      <c r="X5" s="70"/>
      <c r="Y5" s="70"/>
      <c r="Z5" s="70"/>
      <c r="AA5" s="70"/>
      <c r="AB5" s="70"/>
      <c r="AC5" s="70"/>
      <c r="AD5" s="70"/>
      <c r="AE5" s="70"/>
      <c r="AF5" s="70"/>
      <c r="AG5" s="70"/>
    </row>
    <row r="6">
      <c r="A6" s="72" t="s">
        <v>1012</v>
      </c>
      <c r="B6" s="61"/>
      <c r="C6" s="61"/>
      <c r="D6" s="61"/>
      <c r="E6" s="61"/>
      <c r="F6" s="62"/>
      <c r="G6" s="70"/>
      <c r="H6" s="70"/>
      <c r="I6" s="70"/>
      <c r="J6" s="70"/>
      <c r="K6" s="70"/>
      <c r="L6" s="70"/>
      <c r="M6" s="70"/>
      <c r="N6" s="70"/>
      <c r="O6" s="71"/>
      <c r="P6" s="71"/>
      <c r="Q6" s="71"/>
      <c r="R6" s="71"/>
      <c r="S6" s="71"/>
      <c r="T6" s="71"/>
      <c r="U6" s="71"/>
      <c r="V6" s="71"/>
      <c r="W6" s="71"/>
      <c r="X6" s="70"/>
      <c r="Y6" s="70"/>
      <c r="Z6" s="70"/>
      <c r="AA6" s="70"/>
      <c r="AB6" s="70"/>
      <c r="AC6" s="70"/>
      <c r="AD6" s="70"/>
      <c r="AE6" s="70"/>
      <c r="AF6" s="70"/>
      <c r="AG6" s="70"/>
    </row>
    <row r="7">
      <c r="A7" s="73" t="s">
        <v>1013</v>
      </c>
      <c r="B7" s="61"/>
      <c r="C7" s="61"/>
      <c r="D7" s="61"/>
      <c r="E7" s="61"/>
      <c r="F7" s="62"/>
      <c r="G7" s="70"/>
      <c r="H7" s="70"/>
      <c r="I7" s="70"/>
      <c r="J7" s="70"/>
      <c r="K7" s="70"/>
      <c r="L7" s="70"/>
      <c r="M7" s="70"/>
      <c r="N7" s="70"/>
      <c r="O7" s="71"/>
      <c r="P7" s="71"/>
      <c r="Q7" s="71"/>
      <c r="R7" s="71"/>
      <c r="S7" s="71"/>
      <c r="T7" s="71"/>
      <c r="U7" s="71"/>
      <c r="V7" s="71"/>
      <c r="W7" s="71"/>
      <c r="X7" s="70"/>
      <c r="Y7" s="70"/>
      <c r="Z7" s="70"/>
      <c r="AA7" s="70"/>
      <c r="AB7" s="70"/>
      <c r="AC7" s="70"/>
      <c r="AD7" s="70"/>
      <c r="AE7" s="70"/>
      <c r="AF7" s="70"/>
      <c r="AG7" s="70"/>
    </row>
    <row r="8">
      <c r="A8" s="74" t="s">
        <v>1014</v>
      </c>
      <c r="B8" s="62"/>
      <c r="C8" s="74" t="s">
        <v>1015</v>
      </c>
      <c r="D8" s="75" t="s">
        <v>1016</v>
      </c>
      <c r="E8" s="76" t="s">
        <v>1017</v>
      </c>
      <c r="F8" s="77" t="s">
        <v>1018</v>
      </c>
      <c r="G8" s="70"/>
      <c r="H8" s="70"/>
      <c r="I8" s="70"/>
      <c r="J8" s="70"/>
      <c r="K8" s="70"/>
      <c r="L8" s="70"/>
      <c r="M8" s="70"/>
      <c r="N8" s="70"/>
      <c r="O8" s="71"/>
      <c r="P8" s="71"/>
      <c r="Q8" s="71"/>
      <c r="R8" s="71"/>
      <c r="S8" s="71"/>
      <c r="T8" s="71"/>
      <c r="U8" s="71"/>
      <c r="V8" s="71"/>
      <c r="W8" s="71"/>
      <c r="X8" s="70"/>
      <c r="Y8" s="70"/>
      <c r="Z8" s="70"/>
      <c r="AA8" s="70"/>
      <c r="AB8" s="70"/>
      <c r="AC8" s="70"/>
      <c r="AD8" s="70"/>
      <c r="AE8" s="70"/>
      <c r="AF8" s="70"/>
      <c r="AG8" s="70"/>
    </row>
    <row r="9">
      <c r="A9" s="72" t="s">
        <v>1019</v>
      </c>
      <c r="B9" s="62"/>
      <c r="C9" s="78" t="s">
        <v>1020</v>
      </c>
      <c r="D9" s="79" t="s">
        <v>1021</v>
      </c>
      <c r="E9" s="80" t="s">
        <v>1022</v>
      </c>
      <c r="F9" s="80" t="s">
        <v>1023</v>
      </c>
      <c r="G9" s="70"/>
      <c r="H9" s="70"/>
      <c r="I9" s="70"/>
      <c r="J9" s="70"/>
      <c r="K9" s="70"/>
      <c r="L9" s="70"/>
      <c r="M9" s="70"/>
      <c r="N9" s="70"/>
      <c r="O9" s="71"/>
      <c r="P9" s="71"/>
      <c r="Q9" s="71"/>
      <c r="R9" s="71"/>
      <c r="S9" s="71"/>
      <c r="T9" s="71"/>
      <c r="U9" s="71"/>
      <c r="V9" s="71"/>
      <c r="W9" s="71"/>
      <c r="X9" s="70"/>
      <c r="Y9" s="70"/>
      <c r="Z9" s="70"/>
      <c r="AA9" s="70"/>
      <c r="AB9" s="70"/>
      <c r="AC9" s="70"/>
      <c r="AD9" s="70"/>
      <c r="AE9" s="70"/>
      <c r="AF9" s="70"/>
      <c r="AG9" s="70"/>
    </row>
    <row r="10">
      <c r="A10" s="74" t="s">
        <v>1024</v>
      </c>
      <c r="B10" s="62"/>
      <c r="C10" s="74" t="s">
        <v>1025</v>
      </c>
      <c r="D10" s="76" t="s">
        <v>691</v>
      </c>
      <c r="E10" s="75" t="s">
        <v>1026</v>
      </c>
      <c r="F10" s="81" t="s">
        <v>1027</v>
      </c>
      <c r="G10" s="70"/>
      <c r="H10" s="70"/>
      <c r="I10" s="70"/>
      <c r="J10" s="70"/>
      <c r="K10" s="70"/>
      <c r="L10" s="70"/>
      <c r="M10" s="70"/>
      <c r="N10" s="70"/>
      <c r="O10" s="71"/>
      <c r="P10" s="71"/>
      <c r="Q10" s="71"/>
      <c r="R10" s="71"/>
      <c r="S10" s="71"/>
      <c r="T10" s="71"/>
      <c r="U10" s="71"/>
      <c r="V10" s="71"/>
      <c r="W10" s="71"/>
      <c r="X10" s="70"/>
      <c r="Y10" s="70"/>
      <c r="Z10" s="70"/>
      <c r="AA10" s="70"/>
      <c r="AB10" s="70"/>
      <c r="AC10" s="70"/>
      <c r="AD10" s="70"/>
      <c r="AE10" s="70"/>
      <c r="AF10" s="70"/>
      <c r="AG10" s="70"/>
    </row>
    <row r="11">
      <c r="A11" s="64" t="s">
        <v>1028</v>
      </c>
      <c r="B11" s="62"/>
      <c r="C11" s="82" t="s">
        <v>1029</v>
      </c>
      <c r="D11" s="80" t="s">
        <v>1030</v>
      </c>
      <c r="E11" s="80" t="s">
        <v>1031</v>
      </c>
      <c r="F11" s="80"/>
      <c r="G11" s="70"/>
      <c r="H11" s="70"/>
      <c r="I11" s="70"/>
      <c r="J11" s="70"/>
      <c r="K11" s="70"/>
      <c r="L11" s="70"/>
      <c r="M11" s="70"/>
      <c r="N11" s="70"/>
      <c r="O11" s="71"/>
      <c r="P11" s="71"/>
      <c r="Q11" s="71"/>
      <c r="R11" s="71"/>
      <c r="S11" s="71"/>
      <c r="T11" s="71"/>
      <c r="U11" s="71"/>
      <c r="V11" s="71"/>
      <c r="W11" s="71"/>
      <c r="X11" s="70"/>
      <c r="Y11" s="70"/>
      <c r="Z11" s="70"/>
      <c r="AA11" s="70"/>
      <c r="AB11" s="70"/>
      <c r="AC11" s="70"/>
      <c r="AD11" s="70"/>
      <c r="AE11" s="70"/>
      <c r="AF11" s="70"/>
      <c r="AG11" s="70"/>
    </row>
    <row r="12">
      <c r="A12" s="83" t="s">
        <v>1032</v>
      </c>
      <c r="B12" s="83" t="s">
        <v>1033</v>
      </c>
      <c r="C12" s="83" t="s">
        <v>1034</v>
      </c>
      <c r="D12" s="83" t="s">
        <v>1035</v>
      </c>
      <c r="E12" s="67" t="s">
        <v>1036</v>
      </c>
      <c r="F12" s="62"/>
      <c r="G12" s="70"/>
      <c r="H12" s="70"/>
      <c r="I12" s="70"/>
      <c r="J12" s="70"/>
      <c r="K12" s="70"/>
      <c r="L12" s="70"/>
      <c r="M12" s="70"/>
      <c r="N12" s="70"/>
      <c r="O12" s="71"/>
      <c r="P12" s="71"/>
      <c r="Q12" s="71"/>
      <c r="R12" s="71"/>
      <c r="S12" s="71"/>
      <c r="T12" s="71"/>
      <c r="U12" s="71"/>
      <c r="V12" s="71"/>
      <c r="W12" s="71"/>
      <c r="X12" s="70"/>
      <c r="Y12" s="70"/>
      <c r="Z12" s="70"/>
      <c r="AA12" s="70"/>
      <c r="AB12" s="70"/>
      <c r="AC12" s="70"/>
      <c r="AD12" s="70"/>
      <c r="AE12" s="70"/>
      <c r="AF12" s="70"/>
      <c r="AG12" s="70"/>
    </row>
    <row r="13" ht="69.0" customHeight="1">
      <c r="A13" s="84" t="str">
        <f>'Chapter Status'!C16</f>
        <v>Warm-up</v>
      </c>
      <c r="B13" s="85" t="str">
        <f>'Chapter Status'!D37</f>
        <v>Remember First Numbers</v>
      </c>
      <c r="C13" s="86" t="s">
        <v>1037</v>
      </c>
      <c r="E13" s="3" t="s">
        <v>1038</v>
      </c>
    </row>
    <row r="14">
      <c r="A14" s="84" t="str">
        <f>'Chapter Status'!C17</f>
        <v>Learn</v>
      </c>
      <c r="B14" s="85" t="str">
        <f>'Chapter Status'!D38</f>
        <v>Numbers 10 to 29</v>
      </c>
      <c r="C14" s="87" t="s">
        <v>1039</v>
      </c>
      <c r="D14" s="88"/>
      <c r="E14" s="89" t="s">
        <v>1040</v>
      </c>
      <c r="F14" s="62"/>
      <c r="G14" s="70"/>
      <c r="H14" s="70"/>
      <c r="I14" s="70"/>
      <c r="J14" s="70"/>
      <c r="K14" s="70"/>
      <c r="L14" s="70"/>
      <c r="M14" s="70"/>
      <c r="N14" s="70"/>
      <c r="O14" s="71"/>
      <c r="P14" s="71"/>
      <c r="Q14" s="71"/>
      <c r="R14" s="71"/>
      <c r="S14" s="71"/>
      <c r="T14" s="71"/>
      <c r="U14" s="71"/>
      <c r="V14" s="71"/>
      <c r="W14" s="71"/>
      <c r="X14" s="70"/>
      <c r="Y14" s="70"/>
      <c r="Z14" s="70"/>
      <c r="AA14" s="70"/>
      <c r="AB14" s="70"/>
      <c r="AC14" s="70"/>
      <c r="AD14" s="70"/>
      <c r="AE14" s="70"/>
      <c r="AF14" s="70"/>
      <c r="AG14" s="70"/>
    </row>
    <row r="15">
      <c r="A15" s="84" t="str">
        <f>'Chapter Status'!C18</f>
        <v>Practice</v>
      </c>
      <c r="B15" s="85" t="str">
        <f>'Chapter Status'!D39</f>
        <v>Using Numbers 10 to 29</v>
      </c>
      <c r="C15" s="87" t="s">
        <v>1041</v>
      </c>
      <c r="D15" s="88"/>
      <c r="E15" s="90" t="s">
        <v>1042</v>
      </c>
      <c r="F15" s="62"/>
      <c r="G15" s="70"/>
      <c r="H15" s="70"/>
      <c r="I15" s="70"/>
      <c r="J15" s="70"/>
      <c r="K15" s="70"/>
      <c r="L15" s="70"/>
      <c r="M15" s="70"/>
      <c r="N15" s="70"/>
      <c r="O15" s="71"/>
      <c r="P15" s="71"/>
      <c r="Q15" s="71"/>
      <c r="R15" s="71"/>
      <c r="S15" s="71"/>
      <c r="T15" s="71"/>
      <c r="U15" s="71"/>
      <c r="V15" s="71"/>
      <c r="W15" s="71"/>
      <c r="X15" s="70"/>
      <c r="Y15" s="70"/>
      <c r="Z15" s="70"/>
      <c r="AA15" s="70"/>
      <c r="AB15" s="70"/>
      <c r="AC15" s="70"/>
      <c r="AD15" s="70"/>
      <c r="AE15" s="70"/>
      <c r="AF15" s="70"/>
      <c r="AG15" s="70"/>
    </row>
    <row r="16">
      <c r="A16" s="84" t="str">
        <f>'Chapter Status'!C19</f>
        <v>Review</v>
      </c>
      <c r="B16" s="85" t="str">
        <f>'Chapter Status'!D40</f>
        <v>Numbers 10 to 29 Review</v>
      </c>
      <c r="C16" s="88" t="s">
        <v>1043</v>
      </c>
      <c r="D16" s="88"/>
      <c r="E16" s="90" t="s">
        <v>1044</v>
      </c>
      <c r="F16" s="62"/>
      <c r="G16" s="70"/>
      <c r="H16" s="70"/>
      <c r="I16" s="70"/>
      <c r="J16" s="70"/>
      <c r="K16" s="70"/>
      <c r="L16" s="70"/>
      <c r="M16" s="70"/>
      <c r="N16" s="70"/>
      <c r="O16" s="71"/>
      <c r="P16" s="71"/>
      <c r="Q16" s="71"/>
      <c r="R16" s="71"/>
      <c r="S16" s="71"/>
      <c r="T16" s="71"/>
      <c r="U16" s="71"/>
      <c r="V16" s="71"/>
      <c r="W16" s="71"/>
      <c r="X16" s="70"/>
      <c r="Y16" s="70"/>
      <c r="Z16" s="70"/>
      <c r="AA16" s="70"/>
      <c r="AB16" s="70"/>
      <c r="AC16" s="70"/>
      <c r="AD16" s="70"/>
      <c r="AE16" s="70"/>
      <c r="AF16" s="70"/>
      <c r="AG16" s="70"/>
    </row>
    <row r="17">
      <c r="A17" s="84" t="str">
        <f>'Chapter Status'!C20</f>
        <v>Quiz</v>
      </c>
      <c r="B17" s="85" t="str">
        <f>'Chapter Status'!D41</f>
        <v>Numbers 10 to 29 Quiz</v>
      </c>
      <c r="C17" s="88" t="s">
        <v>1045</v>
      </c>
      <c r="D17" s="88"/>
      <c r="E17" s="90" t="s">
        <v>1046</v>
      </c>
      <c r="F17" s="62"/>
      <c r="G17" s="70"/>
      <c r="H17" s="70"/>
      <c r="I17" s="70"/>
      <c r="J17" s="70"/>
      <c r="K17" s="70"/>
      <c r="L17" s="70"/>
      <c r="M17" s="70"/>
      <c r="N17" s="70"/>
      <c r="O17" s="71"/>
      <c r="P17" s="71"/>
      <c r="Q17" s="71"/>
      <c r="R17" s="71"/>
      <c r="S17" s="71"/>
      <c r="T17" s="71"/>
      <c r="U17" s="71"/>
      <c r="V17" s="71"/>
      <c r="W17" s="71"/>
      <c r="X17" s="70"/>
      <c r="Y17" s="70"/>
      <c r="Z17" s="70"/>
      <c r="AA17" s="70"/>
      <c r="AB17" s="70"/>
      <c r="AC17" s="70"/>
      <c r="AD17" s="70"/>
      <c r="AE17" s="70"/>
      <c r="AF17" s="70"/>
      <c r="AG17" s="70"/>
    </row>
    <row r="18">
      <c r="A18" s="91"/>
      <c r="B18" s="91"/>
      <c r="C18" s="91"/>
      <c r="D18" s="91"/>
      <c r="E18" s="91"/>
      <c r="F18" s="59"/>
      <c r="G18" s="59"/>
      <c r="H18" s="59"/>
      <c r="I18" s="59"/>
      <c r="J18" s="59"/>
      <c r="K18" s="59"/>
      <c r="L18" s="59"/>
      <c r="M18" s="59"/>
      <c r="N18" s="59"/>
      <c r="O18" s="91"/>
      <c r="P18" s="91"/>
      <c r="Q18" s="91"/>
      <c r="R18" s="91"/>
      <c r="S18" s="91"/>
      <c r="T18" s="91"/>
      <c r="U18" s="91"/>
      <c r="V18" s="91"/>
      <c r="W18" s="91"/>
      <c r="X18" s="59"/>
      <c r="Y18" s="59"/>
      <c r="Z18" s="59"/>
      <c r="AA18" s="59"/>
      <c r="AB18" s="59"/>
      <c r="AC18" s="59"/>
      <c r="AD18" s="59"/>
      <c r="AE18" s="59"/>
      <c r="AF18" s="59"/>
      <c r="AG18" s="59"/>
    </row>
    <row r="19">
      <c r="A19" s="91"/>
      <c r="B19" s="91"/>
      <c r="C19" s="91"/>
      <c r="D19" s="91"/>
      <c r="E19" s="91"/>
      <c r="F19" s="59"/>
      <c r="G19" s="59"/>
      <c r="H19" s="59"/>
      <c r="I19" s="59"/>
      <c r="J19" s="59"/>
      <c r="K19" s="59"/>
      <c r="L19" s="59"/>
      <c r="M19" s="59"/>
      <c r="N19" s="59"/>
      <c r="O19" s="91"/>
      <c r="P19" s="91"/>
      <c r="Q19" s="91"/>
      <c r="R19" s="91"/>
      <c r="S19" s="91"/>
      <c r="T19" s="91"/>
      <c r="U19" s="91"/>
      <c r="V19" s="91"/>
      <c r="W19" s="91"/>
      <c r="X19" s="59"/>
      <c r="Y19" s="59"/>
      <c r="Z19" s="59"/>
      <c r="AA19" s="59"/>
      <c r="AB19" s="59"/>
      <c r="AC19" s="59"/>
      <c r="AD19" s="59"/>
      <c r="AE19" s="59"/>
      <c r="AF19" s="59"/>
      <c r="AG19" s="59"/>
    </row>
    <row r="20">
      <c r="A20" s="91"/>
      <c r="F20" s="59"/>
      <c r="G20" s="59"/>
      <c r="H20" s="59"/>
      <c r="I20" s="59"/>
      <c r="J20" s="59"/>
      <c r="K20" s="59"/>
      <c r="L20" s="59"/>
      <c r="M20" s="59"/>
      <c r="N20" s="59"/>
      <c r="O20" s="91"/>
      <c r="X20" s="59"/>
      <c r="Y20" s="59"/>
      <c r="Z20" s="59"/>
      <c r="AA20" s="59"/>
      <c r="AB20" s="59"/>
      <c r="AC20" s="59"/>
      <c r="AD20" s="59"/>
      <c r="AE20" s="59"/>
      <c r="AF20" s="59"/>
      <c r="AG20" s="59"/>
    </row>
    <row r="21">
      <c r="A21" s="92" t="s">
        <v>1047</v>
      </c>
      <c r="B21" s="61"/>
      <c r="C21" s="61"/>
      <c r="D21" s="61"/>
      <c r="E21" s="61"/>
      <c r="F21" s="62"/>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row>
    <row r="22">
      <c r="A22" s="93" t="s">
        <v>1048</v>
      </c>
      <c r="B22" s="61"/>
      <c r="C22" s="61"/>
      <c r="D22" s="61"/>
      <c r="E22" s="61"/>
      <c r="F22" s="62"/>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row>
    <row r="23">
      <c r="A23" s="73" t="s">
        <v>1049</v>
      </c>
      <c r="B23" s="61"/>
      <c r="C23" s="61"/>
      <c r="D23" s="61"/>
      <c r="E23" s="61"/>
      <c r="F23" s="62"/>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row>
    <row r="24">
      <c r="A24" s="74" t="s">
        <v>1014</v>
      </c>
      <c r="B24" s="62"/>
      <c r="C24" s="74" t="s">
        <v>1015</v>
      </c>
      <c r="D24" s="75" t="s">
        <v>1016</v>
      </c>
      <c r="E24" s="76" t="s">
        <v>1017</v>
      </c>
      <c r="F24" s="77" t="s">
        <v>1018</v>
      </c>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row>
    <row r="25">
      <c r="A25" s="72" t="s">
        <v>1050</v>
      </c>
      <c r="B25" s="62"/>
      <c r="C25" s="78" t="s">
        <v>1051</v>
      </c>
      <c r="D25" s="94" t="s">
        <v>1052</v>
      </c>
      <c r="E25" s="80" t="s">
        <v>1053</v>
      </c>
      <c r="F25" s="80" t="s">
        <v>1054</v>
      </c>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row>
    <row r="26">
      <c r="A26" s="74" t="s">
        <v>1024</v>
      </c>
      <c r="B26" s="62"/>
      <c r="C26" s="74" t="s">
        <v>1025</v>
      </c>
      <c r="D26" s="76" t="s">
        <v>691</v>
      </c>
      <c r="E26" s="75" t="s">
        <v>1026</v>
      </c>
      <c r="F26" s="81" t="s">
        <v>1055</v>
      </c>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row>
    <row r="27">
      <c r="A27" s="64" t="s">
        <v>1056</v>
      </c>
      <c r="B27" s="62"/>
      <c r="C27" s="82" t="s">
        <v>1057</v>
      </c>
      <c r="D27" s="80" t="s">
        <v>1058</v>
      </c>
      <c r="E27" s="80" t="s">
        <v>1059</v>
      </c>
      <c r="F27" s="80" t="s">
        <v>1060</v>
      </c>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row>
    <row r="28">
      <c r="A28" s="95" t="s">
        <v>1032</v>
      </c>
      <c r="B28" s="95" t="s">
        <v>1033</v>
      </c>
      <c r="C28" s="95" t="s">
        <v>1034</v>
      </c>
      <c r="D28" s="95" t="s">
        <v>1035</v>
      </c>
      <c r="E28" s="67" t="s">
        <v>1036</v>
      </c>
      <c r="F28" s="62"/>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row>
    <row r="29">
      <c r="A29" s="96" t="str">
        <f>'Chapter Status'!C22</f>
        <v>Warm-up</v>
      </c>
      <c r="B29" s="88" t="str">
        <f>'Chapter Status'!D43</f>
        <v>Getting Ready to Share Personal Details</v>
      </c>
      <c r="C29" s="88" t="s">
        <v>1061</v>
      </c>
      <c r="D29" s="88" t="s">
        <v>1062</v>
      </c>
      <c r="E29" s="89" t="s">
        <v>1063</v>
      </c>
      <c r="F29" s="62"/>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row>
    <row r="30">
      <c r="A30" s="96" t="str">
        <f>'Chapter Status'!C23</f>
        <v>Learn</v>
      </c>
      <c r="B30" s="88" t="str">
        <f>'Chapter Status'!D44</f>
        <v>Basic Personal Information</v>
      </c>
      <c r="C30" s="87" t="s">
        <v>1064</v>
      </c>
      <c r="D30" s="97" t="s">
        <v>1065</v>
      </c>
      <c r="E30" s="89" t="s">
        <v>1066</v>
      </c>
      <c r="F30" s="62"/>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row>
    <row r="31">
      <c r="A31" s="98" t="s">
        <v>850</v>
      </c>
      <c r="B31" s="88" t="str">
        <f>'Chapter Status'!D45</f>
        <v>Contact Information and Spelling</v>
      </c>
      <c r="C31" s="87" t="s">
        <v>1067</v>
      </c>
      <c r="D31" s="88"/>
      <c r="E31" s="89" t="s">
        <v>1068</v>
      </c>
      <c r="F31" s="62"/>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row>
    <row r="32">
      <c r="A32" s="96" t="str">
        <f>'Chapter Status'!C26</f>
        <v>Practice</v>
      </c>
      <c r="B32" s="88" t="str">
        <f>'Chapter Status'!D46</f>
        <v>Personal Details in Action</v>
      </c>
      <c r="C32" s="87" t="s">
        <v>1069</v>
      </c>
      <c r="D32" s="88"/>
      <c r="E32" s="89" t="s">
        <v>1070</v>
      </c>
      <c r="F32" s="62"/>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row>
    <row r="33">
      <c r="A33" s="96" t="str">
        <f>'Chapter Status'!C27</f>
        <v>Review</v>
      </c>
      <c r="B33" s="88" t="str">
        <f>'Chapter Status'!D47</f>
        <v>Sharing Your Personal Details Review</v>
      </c>
      <c r="C33" s="88" t="s">
        <v>1043</v>
      </c>
      <c r="D33" s="88"/>
      <c r="E33" s="99"/>
      <c r="F33" s="62"/>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c r="A34" s="96" t="str">
        <f>'Chapter Status'!C28</f>
        <v>Quiz</v>
      </c>
      <c r="B34" s="88" t="str">
        <f>'Chapter Status'!D48</f>
        <v>Sharing Your Personal Details Quiz</v>
      </c>
      <c r="C34" s="88" t="s">
        <v>1045</v>
      </c>
      <c r="D34" s="88"/>
      <c r="E34" s="90" t="s">
        <v>1046</v>
      </c>
      <c r="F34" s="62"/>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row>
  </sheetData>
  <mergeCells count="33">
    <mergeCell ref="A2:F2"/>
    <mergeCell ref="O2:W2"/>
    <mergeCell ref="A3:F3"/>
    <mergeCell ref="O3:W3"/>
    <mergeCell ref="A4:F4"/>
    <mergeCell ref="O4:W4"/>
    <mergeCell ref="A6:F6"/>
    <mergeCell ref="A7:F7"/>
    <mergeCell ref="A8:B8"/>
    <mergeCell ref="A9:B9"/>
    <mergeCell ref="A10:B10"/>
    <mergeCell ref="A11:B11"/>
    <mergeCell ref="E12:F12"/>
    <mergeCell ref="E14:F14"/>
    <mergeCell ref="E15:F15"/>
    <mergeCell ref="E16:F16"/>
    <mergeCell ref="E17:F17"/>
    <mergeCell ref="A20:E20"/>
    <mergeCell ref="O20:W20"/>
    <mergeCell ref="A21:F21"/>
    <mergeCell ref="A22:F22"/>
    <mergeCell ref="E30:F30"/>
    <mergeCell ref="E31:F31"/>
    <mergeCell ref="E32:F32"/>
    <mergeCell ref="E33:F33"/>
    <mergeCell ref="E34:F34"/>
    <mergeCell ref="A23:F23"/>
    <mergeCell ref="A24:B24"/>
    <mergeCell ref="A25:B25"/>
    <mergeCell ref="A26:B26"/>
    <mergeCell ref="A27:B27"/>
    <mergeCell ref="E28:F28"/>
    <mergeCell ref="E29:F29"/>
  </mergeCells>
  <dataValidations>
    <dataValidation type="list" allowBlank="1" showErrorMessage="1" sqref="A13:A17 A29:A34">
      <formula1>"Warm-up,Learn,Practice,Review,Quiz"</formula1>
    </dataValidation>
  </dataValidations>
  <hyperlinks>
    <hyperlink r:id="rId2" ref="A8"/>
    <hyperlink r:id="rId3" ref="C8"/>
    <hyperlink r:id="rId4" ref="E8"/>
    <hyperlink r:id="rId5" ref="F8"/>
    <hyperlink r:id="rId6" ref="A10"/>
    <hyperlink r:id="rId7" ref="C10"/>
    <hyperlink r:id="rId8" ref="D10"/>
    <hyperlink r:id="rId9" ref="F10"/>
    <hyperlink r:id="rId10" ref="A24"/>
    <hyperlink r:id="rId11" ref="C24"/>
    <hyperlink r:id="rId12" ref="E24"/>
    <hyperlink r:id="rId13" ref="F24"/>
    <hyperlink r:id="rId14" ref="A26"/>
    <hyperlink r:id="rId15" ref="C26"/>
    <hyperlink r:id="rId16" ref="D26"/>
    <hyperlink r:id="rId17" ref="F26"/>
  </hyperlinks>
  <drawing r:id="rId18"/>
  <legacy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8.63"/>
    <col customWidth="1" min="3" max="3" width="43.0"/>
    <col customWidth="1" min="4" max="4" width="35.5"/>
    <col customWidth="1" min="5" max="5" width="40.5"/>
    <col customWidth="1" min="6" max="6" width="34.75"/>
    <col customWidth="1" min="7" max="7" width="19.0"/>
    <col customWidth="1" min="8" max="8" width="5.63"/>
    <col customWidth="1" min="9" max="9" width="31.25"/>
    <col customWidth="1" min="10" max="10" width="6.0"/>
    <col customWidth="1" min="11" max="11" width="23.13"/>
    <col customWidth="1" min="12" max="12" width="5.88"/>
    <col customWidth="1" min="13" max="13" width="30.63"/>
    <col customWidth="1" min="14" max="14" width="5.63"/>
    <col customWidth="1" min="15" max="15" width="44.0"/>
    <col customWidth="1" min="16" max="16" width="6.0"/>
    <col customWidth="1" min="17" max="17" width="17.0"/>
    <col customWidth="1" min="18" max="18" width="4.5"/>
    <col customWidth="1" min="19" max="19" width="34.0"/>
    <col customWidth="1" min="20" max="20" width="17.63"/>
    <col customWidth="1" min="21" max="21" width="24.63"/>
    <col customWidth="1" min="22" max="22" width="4.88"/>
    <col customWidth="1" min="23" max="23" width="28.88"/>
    <col customWidth="1" min="24" max="24" width="17.88"/>
    <col customWidth="1" min="25" max="25" width="34.75"/>
    <col customWidth="1" min="26" max="26" width="4.5"/>
    <col customWidth="1" min="27" max="27" width="19.0"/>
    <col customWidth="1" min="28" max="28" width="5.63"/>
    <col customWidth="1" min="29" max="29" width="31.25"/>
    <col customWidth="1" min="30" max="30" width="6.0"/>
    <col customWidth="1" min="31" max="31" width="23.13"/>
    <col customWidth="1" min="32" max="32" width="5.88"/>
    <col customWidth="1" min="33" max="33" width="30.63"/>
  </cols>
  <sheetData>
    <row r="1">
      <c r="A1" s="58"/>
      <c r="B1" s="58"/>
      <c r="C1" s="58"/>
      <c r="D1" s="58"/>
      <c r="E1" s="58"/>
      <c r="F1" s="59"/>
      <c r="G1" s="59"/>
      <c r="H1" s="59"/>
      <c r="I1" s="59"/>
      <c r="J1" s="59"/>
      <c r="K1" s="59"/>
      <c r="L1" s="59"/>
      <c r="M1" s="59"/>
      <c r="N1" s="59"/>
      <c r="O1" s="58"/>
      <c r="P1" s="58"/>
      <c r="Q1" s="58"/>
      <c r="R1" s="58"/>
      <c r="S1" s="58"/>
      <c r="T1" s="58"/>
      <c r="U1" s="58"/>
      <c r="V1" s="58"/>
      <c r="W1" s="58"/>
      <c r="X1" s="59"/>
      <c r="Y1" s="59"/>
      <c r="Z1" s="59"/>
      <c r="AA1" s="59"/>
      <c r="AB1" s="59"/>
      <c r="AC1" s="59"/>
      <c r="AD1" s="59"/>
      <c r="AE1" s="59"/>
      <c r="AF1" s="59"/>
      <c r="AG1" s="59"/>
    </row>
    <row r="2">
      <c r="A2" s="60" t="s">
        <v>1071</v>
      </c>
      <c r="B2" s="61"/>
      <c r="C2" s="61"/>
      <c r="D2" s="61"/>
      <c r="E2" s="61"/>
      <c r="F2" s="62"/>
      <c r="G2" s="59"/>
      <c r="H2" s="59"/>
      <c r="I2" s="59"/>
      <c r="J2" s="59"/>
      <c r="K2" s="59"/>
      <c r="L2" s="59"/>
      <c r="M2" s="59"/>
      <c r="N2" s="59"/>
      <c r="O2" s="63"/>
      <c r="X2" s="59"/>
      <c r="Y2" s="59"/>
      <c r="Z2" s="59"/>
      <c r="AA2" s="59"/>
      <c r="AB2" s="59"/>
      <c r="AC2" s="59"/>
      <c r="AD2" s="59"/>
      <c r="AE2" s="59"/>
      <c r="AF2" s="59"/>
      <c r="AG2" s="59"/>
    </row>
    <row r="3">
      <c r="A3" s="64" t="s">
        <v>1072</v>
      </c>
      <c r="B3" s="61"/>
      <c r="C3" s="61"/>
      <c r="D3" s="61"/>
      <c r="E3" s="61"/>
      <c r="F3" s="62"/>
      <c r="G3" s="59"/>
      <c r="H3" s="59"/>
      <c r="I3" s="59"/>
      <c r="J3" s="59"/>
      <c r="K3" s="59"/>
      <c r="L3" s="59"/>
      <c r="M3" s="59"/>
      <c r="N3" s="59"/>
      <c r="O3" s="65"/>
      <c r="X3" s="59"/>
      <c r="Y3" s="59"/>
      <c r="Z3" s="59"/>
      <c r="AA3" s="59"/>
      <c r="AB3" s="59"/>
      <c r="AC3" s="59"/>
      <c r="AD3" s="59"/>
      <c r="AE3" s="59"/>
      <c r="AF3" s="59"/>
      <c r="AG3" s="59"/>
    </row>
    <row r="4" ht="59.25" customHeight="1">
      <c r="A4" s="66" t="s">
        <v>1073</v>
      </c>
      <c r="F4" s="59"/>
      <c r="G4" s="59"/>
      <c r="H4" s="59"/>
      <c r="I4" s="59"/>
      <c r="J4" s="59"/>
      <c r="K4" s="59"/>
      <c r="L4" s="59"/>
      <c r="M4" s="59"/>
      <c r="N4" s="59"/>
      <c r="O4" s="66"/>
      <c r="X4" s="59"/>
      <c r="Y4" s="59"/>
      <c r="Z4" s="59"/>
      <c r="AA4" s="59"/>
      <c r="AB4" s="59"/>
      <c r="AC4" s="59"/>
      <c r="AD4" s="59"/>
      <c r="AE4" s="59"/>
      <c r="AF4" s="59"/>
      <c r="AG4" s="59"/>
    </row>
    <row r="5">
      <c r="A5" s="67" t="s">
        <v>1074</v>
      </c>
      <c r="B5" s="61"/>
      <c r="C5" s="61"/>
      <c r="D5" s="61"/>
      <c r="E5" s="61"/>
      <c r="F5" s="62"/>
      <c r="G5" s="70"/>
      <c r="H5" s="70"/>
      <c r="I5" s="70"/>
      <c r="J5" s="70"/>
      <c r="K5" s="70"/>
      <c r="L5" s="70"/>
      <c r="M5" s="70"/>
      <c r="N5" s="70"/>
      <c r="O5" s="71"/>
      <c r="P5" s="71"/>
      <c r="Q5" s="71"/>
      <c r="R5" s="71"/>
      <c r="S5" s="71"/>
      <c r="T5" s="71"/>
      <c r="U5" s="71"/>
      <c r="V5" s="71"/>
      <c r="W5" s="71"/>
      <c r="X5" s="70"/>
      <c r="Y5" s="70"/>
      <c r="Z5" s="70"/>
      <c r="AA5" s="70"/>
      <c r="AB5" s="70"/>
      <c r="AC5" s="70"/>
      <c r="AD5" s="70"/>
      <c r="AE5" s="70"/>
      <c r="AF5" s="70"/>
      <c r="AG5" s="70"/>
    </row>
    <row r="6">
      <c r="A6" s="72" t="s">
        <v>1075</v>
      </c>
      <c r="B6" s="61"/>
      <c r="C6" s="61"/>
      <c r="D6" s="61"/>
      <c r="E6" s="61"/>
      <c r="F6" s="62"/>
      <c r="G6" s="70"/>
      <c r="H6" s="70"/>
      <c r="I6" s="70"/>
      <c r="J6" s="70"/>
      <c r="K6" s="70"/>
      <c r="L6" s="70"/>
      <c r="M6" s="70"/>
      <c r="N6" s="70"/>
      <c r="O6" s="71"/>
      <c r="P6" s="71"/>
      <c r="Q6" s="71"/>
      <c r="R6" s="71"/>
      <c r="S6" s="71"/>
      <c r="T6" s="71"/>
      <c r="U6" s="71"/>
      <c r="V6" s="71"/>
      <c r="W6" s="71"/>
      <c r="X6" s="70"/>
      <c r="Y6" s="70"/>
      <c r="Z6" s="70"/>
      <c r="AA6" s="70"/>
      <c r="AB6" s="70"/>
      <c r="AC6" s="70"/>
      <c r="AD6" s="70"/>
      <c r="AE6" s="70"/>
      <c r="AF6" s="70"/>
      <c r="AG6" s="70"/>
    </row>
    <row r="7">
      <c r="A7" s="73" t="s">
        <v>1013</v>
      </c>
      <c r="B7" s="61"/>
      <c r="C7" s="61"/>
      <c r="D7" s="61"/>
      <c r="E7" s="61"/>
      <c r="F7" s="62"/>
      <c r="G7" s="70"/>
      <c r="H7" s="70"/>
      <c r="I7" s="70"/>
      <c r="J7" s="70"/>
      <c r="K7" s="70"/>
      <c r="L7" s="70"/>
      <c r="M7" s="70"/>
      <c r="N7" s="70"/>
      <c r="O7" s="71"/>
      <c r="P7" s="71"/>
      <c r="Q7" s="71"/>
      <c r="R7" s="71"/>
      <c r="S7" s="71"/>
      <c r="T7" s="71"/>
      <c r="U7" s="71"/>
      <c r="V7" s="71"/>
      <c r="W7" s="71"/>
      <c r="X7" s="70"/>
      <c r="Y7" s="70"/>
      <c r="Z7" s="70"/>
      <c r="AA7" s="70"/>
      <c r="AB7" s="70"/>
      <c r="AC7" s="70"/>
      <c r="AD7" s="70"/>
      <c r="AE7" s="70"/>
      <c r="AF7" s="70"/>
      <c r="AG7" s="70"/>
    </row>
    <row r="8">
      <c r="A8" s="74" t="s">
        <v>1014</v>
      </c>
      <c r="B8" s="62"/>
      <c r="C8" s="74" t="s">
        <v>1015</v>
      </c>
      <c r="D8" s="75" t="s">
        <v>1016</v>
      </c>
      <c r="E8" s="76" t="s">
        <v>1017</v>
      </c>
      <c r="F8" s="77" t="s">
        <v>1018</v>
      </c>
      <c r="G8" s="70"/>
      <c r="H8" s="70"/>
      <c r="I8" s="70"/>
      <c r="J8" s="70"/>
      <c r="K8" s="70"/>
      <c r="L8" s="70"/>
      <c r="M8" s="70"/>
      <c r="N8" s="70"/>
      <c r="O8" s="71"/>
      <c r="P8" s="71"/>
      <c r="Q8" s="71"/>
      <c r="R8" s="71"/>
      <c r="S8" s="71"/>
      <c r="T8" s="71"/>
      <c r="U8" s="71"/>
      <c r="V8" s="71"/>
      <c r="W8" s="71"/>
      <c r="X8" s="70"/>
      <c r="Y8" s="70"/>
      <c r="Z8" s="70"/>
      <c r="AA8" s="70"/>
      <c r="AB8" s="70"/>
      <c r="AC8" s="70"/>
      <c r="AD8" s="70"/>
      <c r="AE8" s="70"/>
      <c r="AF8" s="70"/>
      <c r="AG8" s="70"/>
    </row>
    <row r="9">
      <c r="A9" s="72" t="s">
        <v>1076</v>
      </c>
      <c r="B9" s="62"/>
      <c r="C9" s="78" t="s">
        <v>1077</v>
      </c>
      <c r="D9" s="94" t="s">
        <v>1078</v>
      </c>
      <c r="E9" s="80" t="s">
        <v>1079</v>
      </c>
      <c r="F9" s="80" t="s">
        <v>1080</v>
      </c>
      <c r="G9" s="70"/>
      <c r="H9" s="70"/>
      <c r="I9" s="70"/>
      <c r="J9" s="70"/>
      <c r="K9" s="70"/>
      <c r="L9" s="70"/>
      <c r="M9" s="70"/>
      <c r="N9" s="70"/>
      <c r="O9" s="71"/>
      <c r="P9" s="71"/>
      <c r="Q9" s="71"/>
      <c r="R9" s="71"/>
      <c r="S9" s="71"/>
      <c r="T9" s="71"/>
      <c r="U9" s="71"/>
      <c r="V9" s="71"/>
      <c r="W9" s="71"/>
      <c r="X9" s="70"/>
      <c r="Y9" s="70"/>
      <c r="Z9" s="70"/>
      <c r="AA9" s="70"/>
      <c r="AB9" s="70"/>
      <c r="AC9" s="70"/>
      <c r="AD9" s="70"/>
      <c r="AE9" s="70"/>
      <c r="AF9" s="70"/>
      <c r="AG9" s="70"/>
    </row>
    <row r="10">
      <c r="A10" s="74" t="s">
        <v>1024</v>
      </c>
      <c r="B10" s="62"/>
      <c r="C10" s="74" t="s">
        <v>1025</v>
      </c>
      <c r="D10" s="76" t="s">
        <v>691</v>
      </c>
      <c r="E10" s="75" t="s">
        <v>1026</v>
      </c>
      <c r="F10" s="81" t="s">
        <v>1081</v>
      </c>
      <c r="G10" s="70"/>
      <c r="H10" s="70"/>
      <c r="I10" s="70"/>
      <c r="J10" s="70"/>
      <c r="K10" s="70"/>
      <c r="L10" s="70"/>
      <c r="M10" s="70"/>
      <c r="N10" s="70"/>
      <c r="O10" s="71"/>
      <c r="P10" s="71"/>
      <c r="Q10" s="71"/>
      <c r="R10" s="71"/>
      <c r="S10" s="71"/>
      <c r="T10" s="71"/>
      <c r="U10" s="71"/>
      <c r="V10" s="71"/>
      <c r="W10" s="71"/>
      <c r="X10" s="70"/>
      <c r="Y10" s="70"/>
      <c r="Z10" s="70"/>
      <c r="AA10" s="70"/>
      <c r="AB10" s="70"/>
      <c r="AC10" s="70"/>
      <c r="AD10" s="70"/>
      <c r="AE10" s="70"/>
      <c r="AF10" s="70"/>
      <c r="AG10" s="70"/>
    </row>
    <row r="11">
      <c r="A11" s="64" t="s">
        <v>1082</v>
      </c>
      <c r="B11" s="62"/>
      <c r="C11" s="82" t="s">
        <v>1083</v>
      </c>
      <c r="D11" s="80" t="s">
        <v>1084</v>
      </c>
      <c r="E11" s="80" t="s">
        <v>1085</v>
      </c>
      <c r="F11" s="80" t="s">
        <v>1082</v>
      </c>
      <c r="G11" s="70"/>
      <c r="H11" s="70"/>
      <c r="I11" s="70"/>
      <c r="J11" s="70"/>
      <c r="K11" s="70"/>
      <c r="L11" s="70"/>
      <c r="M11" s="70"/>
      <c r="N11" s="70"/>
      <c r="O11" s="71"/>
      <c r="P11" s="71"/>
      <c r="Q11" s="71"/>
      <c r="R11" s="71"/>
      <c r="S11" s="71"/>
      <c r="T11" s="71"/>
      <c r="U11" s="71"/>
      <c r="V11" s="71"/>
      <c r="W11" s="71"/>
      <c r="X11" s="70"/>
      <c r="Y11" s="70"/>
      <c r="Z11" s="70"/>
      <c r="AA11" s="70"/>
      <c r="AB11" s="70"/>
      <c r="AC11" s="70"/>
      <c r="AD11" s="70"/>
      <c r="AE11" s="70"/>
      <c r="AF11" s="70"/>
      <c r="AG11" s="70"/>
    </row>
    <row r="12">
      <c r="A12" s="83" t="s">
        <v>1032</v>
      </c>
      <c r="B12" s="83" t="s">
        <v>1033</v>
      </c>
      <c r="C12" s="83" t="s">
        <v>1034</v>
      </c>
      <c r="D12" s="83" t="s">
        <v>1035</v>
      </c>
      <c r="E12" s="67" t="s">
        <v>1036</v>
      </c>
      <c r="F12" s="62"/>
      <c r="G12" s="70"/>
      <c r="H12" s="70"/>
      <c r="I12" s="70"/>
      <c r="J12" s="70"/>
      <c r="K12" s="70"/>
      <c r="L12" s="70"/>
      <c r="M12" s="70"/>
      <c r="N12" s="70"/>
      <c r="O12" s="71"/>
      <c r="P12" s="71"/>
      <c r="Q12" s="71"/>
      <c r="R12" s="71"/>
      <c r="S12" s="71"/>
      <c r="T12" s="71"/>
      <c r="U12" s="71"/>
      <c r="V12" s="71"/>
      <c r="W12" s="71"/>
      <c r="X12" s="70"/>
      <c r="Y12" s="70"/>
      <c r="Z12" s="70"/>
      <c r="AA12" s="70"/>
      <c r="AB12" s="70"/>
      <c r="AC12" s="70"/>
      <c r="AD12" s="70"/>
      <c r="AE12" s="70"/>
      <c r="AF12" s="70"/>
      <c r="AG12" s="70"/>
    </row>
    <row r="13">
      <c r="A13" s="98" t="str">
        <f>'Chapter Status'!C7</f>
        <v>Learn</v>
      </c>
      <c r="B13" s="88" t="str">
        <f>'Chapter Status'!D7</f>
        <v>Vowels</v>
      </c>
      <c r="C13" s="88"/>
      <c r="D13" s="88" t="s">
        <v>1062</v>
      </c>
      <c r="E13" s="89" t="s">
        <v>1086</v>
      </c>
      <c r="F13" s="62"/>
      <c r="G13" s="70"/>
      <c r="H13" s="70"/>
      <c r="I13" s="70"/>
      <c r="J13" s="70"/>
      <c r="K13" s="70"/>
      <c r="L13" s="70"/>
      <c r="M13" s="70"/>
      <c r="N13" s="70"/>
      <c r="O13" s="71"/>
      <c r="P13" s="71"/>
      <c r="Q13" s="71"/>
      <c r="R13" s="71"/>
      <c r="S13" s="71"/>
      <c r="T13" s="71"/>
      <c r="U13" s="71"/>
      <c r="V13" s="71"/>
      <c r="W13" s="71"/>
      <c r="X13" s="70"/>
      <c r="Y13" s="70"/>
      <c r="Z13" s="70"/>
      <c r="AA13" s="70"/>
      <c r="AB13" s="70"/>
      <c r="AC13" s="70"/>
      <c r="AD13" s="70"/>
      <c r="AE13" s="70"/>
      <c r="AF13" s="70"/>
      <c r="AG13" s="70"/>
    </row>
    <row r="14">
      <c r="A14" s="98" t="str">
        <f>'Chapter Status'!C8</f>
        <v>Learn</v>
      </c>
      <c r="B14" s="88" t="str">
        <f>'Chapter Status'!D8</f>
        <v>Consonants and Special Characters</v>
      </c>
      <c r="C14" s="87" t="s">
        <v>1087</v>
      </c>
      <c r="D14" s="88"/>
      <c r="E14" s="89" t="s">
        <v>1086</v>
      </c>
      <c r="F14" s="62"/>
      <c r="G14" s="70"/>
      <c r="H14" s="70"/>
      <c r="I14" s="70"/>
      <c r="J14" s="70"/>
      <c r="K14" s="70"/>
      <c r="L14" s="70"/>
      <c r="M14" s="70"/>
      <c r="N14" s="70"/>
      <c r="O14" s="71"/>
      <c r="P14" s="71"/>
      <c r="Q14" s="71"/>
      <c r="R14" s="71"/>
      <c r="S14" s="71"/>
      <c r="T14" s="71"/>
      <c r="U14" s="71"/>
      <c r="V14" s="71"/>
      <c r="W14" s="71"/>
      <c r="X14" s="70"/>
      <c r="Y14" s="70"/>
      <c r="Z14" s="70"/>
      <c r="AA14" s="70"/>
      <c r="AB14" s="70"/>
      <c r="AC14" s="70"/>
      <c r="AD14" s="70"/>
      <c r="AE14" s="70"/>
      <c r="AF14" s="70"/>
      <c r="AG14" s="70"/>
    </row>
    <row r="15">
      <c r="A15" s="98" t="s">
        <v>850</v>
      </c>
      <c r="B15" s="85" t="str">
        <f>'Chapter Status'!D10</f>
        <v>The First Ten Numbers</v>
      </c>
      <c r="C15" s="88" t="s">
        <v>1088</v>
      </c>
      <c r="D15" s="88" t="s">
        <v>1062</v>
      </c>
      <c r="E15" s="89" t="s">
        <v>1089</v>
      </c>
      <c r="F15" s="62"/>
      <c r="G15" s="70"/>
      <c r="H15" s="70"/>
      <c r="I15" s="70"/>
      <c r="J15" s="70"/>
      <c r="K15" s="70"/>
      <c r="L15" s="70"/>
      <c r="M15" s="70"/>
      <c r="N15" s="70"/>
      <c r="O15" s="71"/>
      <c r="P15" s="71"/>
      <c r="Q15" s="71"/>
      <c r="R15" s="71"/>
      <c r="S15" s="71"/>
      <c r="T15" s="71"/>
      <c r="U15" s="71"/>
      <c r="V15" s="71"/>
      <c r="W15" s="71"/>
      <c r="X15" s="70"/>
      <c r="Y15" s="70"/>
      <c r="Z15" s="70"/>
      <c r="AA15" s="70"/>
      <c r="AB15" s="70"/>
      <c r="AC15" s="70"/>
      <c r="AD15" s="70"/>
      <c r="AE15" s="70"/>
      <c r="AF15" s="70"/>
      <c r="AG15" s="70"/>
    </row>
    <row r="16">
      <c r="A16" s="98" t="s">
        <v>850</v>
      </c>
      <c r="B16" s="85" t="str">
        <f>'Chapter Status'!D11</f>
        <v>The First Ten Numbers Practice</v>
      </c>
      <c r="C16" s="88"/>
      <c r="D16" s="88"/>
      <c r="E16" s="100"/>
      <c r="F16" s="100"/>
      <c r="G16" s="70"/>
      <c r="H16" s="70"/>
      <c r="I16" s="70"/>
      <c r="J16" s="70"/>
      <c r="K16" s="70"/>
      <c r="L16" s="70"/>
      <c r="M16" s="70"/>
      <c r="N16" s="70"/>
      <c r="O16" s="71"/>
      <c r="P16" s="71"/>
      <c r="Q16" s="71"/>
      <c r="R16" s="71"/>
      <c r="S16" s="71"/>
      <c r="T16" s="71"/>
      <c r="U16" s="71"/>
      <c r="V16" s="71"/>
      <c r="W16" s="71"/>
      <c r="X16" s="70"/>
      <c r="Y16" s="70"/>
      <c r="Z16" s="70"/>
      <c r="AA16" s="70"/>
      <c r="AB16" s="70"/>
      <c r="AC16" s="70"/>
      <c r="AD16" s="70"/>
      <c r="AE16" s="70"/>
      <c r="AF16" s="70"/>
      <c r="AG16" s="70"/>
    </row>
    <row r="17">
      <c r="A17" s="98" t="str">
        <f>'Chapter Status'!C12</f>
        <v>Review</v>
      </c>
      <c r="B17" s="88" t="str">
        <f>'Chapter Status'!D12</f>
        <v>Spanish Fundamentals Review</v>
      </c>
      <c r="C17" s="88" t="s">
        <v>1043</v>
      </c>
      <c r="D17" s="88"/>
      <c r="E17" s="99"/>
      <c r="F17" s="62"/>
      <c r="G17" s="70"/>
      <c r="H17" s="70"/>
      <c r="I17" s="70"/>
      <c r="J17" s="70"/>
      <c r="K17" s="70"/>
      <c r="L17" s="70"/>
      <c r="M17" s="70"/>
      <c r="N17" s="70"/>
      <c r="O17" s="71"/>
      <c r="P17" s="71"/>
      <c r="Q17" s="71"/>
      <c r="R17" s="71"/>
      <c r="S17" s="71"/>
      <c r="T17" s="71"/>
      <c r="U17" s="71"/>
      <c r="V17" s="71"/>
      <c r="W17" s="71"/>
      <c r="X17" s="70"/>
      <c r="Y17" s="70"/>
      <c r="Z17" s="70"/>
      <c r="AA17" s="70"/>
      <c r="AB17" s="70"/>
      <c r="AC17" s="70"/>
      <c r="AD17" s="70"/>
      <c r="AE17" s="70"/>
      <c r="AF17" s="70"/>
      <c r="AG17" s="70"/>
    </row>
    <row r="18">
      <c r="A18" s="98" t="str">
        <f>'Chapter Status'!C13</f>
        <v>Quiz</v>
      </c>
      <c r="B18" s="88" t="str">
        <f>'Chapter Status'!D13</f>
        <v>Spanish Fundamentals Quiz</v>
      </c>
      <c r="C18" s="88" t="s">
        <v>1045</v>
      </c>
      <c r="D18" s="88"/>
      <c r="E18" s="90" t="s">
        <v>1046</v>
      </c>
      <c r="F18" s="62"/>
      <c r="G18" s="70"/>
      <c r="H18" s="70"/>
      <c r="I18" s="70"/>
      <c r="J18" s="70"/>
      <c r="K18" s="70"/>
      <c r="L18" s="70"/>
      <c r="M18" s="70"/>
      <c r="N18" s="70"/>
      <c r="O18" s="71"/>
      <c r="P18" s="71"/>
      <c r="Q18" s="71"/>
      <c r="R18" s="71"/>
      <c r="S18" s="71"/>
      <c r="T18" s="71"/>
      <c r="U18" s="71"/>
      <c r="V18" s="71"/>
      <c r="W18" s="71"/>
      <c r="X18" s="70"/>
      <c r="Y18" s="70"/>
      <c r="Z18" s="70"/>
      <c r="AA18" s="70"/>
      <c r="AB18" s="70"/>
      <c r="AC18" s="70"/>
      <c r="AD18" s="70"/>
      <c r="AE18" s="70"/>
      <c r="AF18" s="70"/>
      <c r="AG18" s="70"/>
    </row>
    <row r="19">
      <c r="A19" s="91"/>
      <c r="B19" s="91"/>
      <c r="C19" s="91"/>
      <c r="D19" s="91"/>
      <c r="E19" s="91"/>
      <c r="F19" s="59"/>
      <c r="G19" s="59"/>
      <c r="H19" s="59"/>
      <c r="I19" s="59"/>
      <c r="J19" s="59"/>
      <c r="K19" s="59"/>
      <c r="L19" s="59"/>
      <c r="M19" s="59"/>
      <c r="N19" s="59"/>
      <c r="O19" s="91"/>
      <c r="P19" s="91"/>
      <c r="Q19" s="91"/>
      <c r="R19" s="91"/>
      <c r="S19" s="91"/>
      <c r="T19" s="91"/>
      <c r="U19" s="91"/>
      <c r="V19" s="91"/>
      <c r="W19" s="91"/>
      <c r="X19" s="59"/>
      <c r="Y19" s="59"/>
      <c r="Z19" s="59"/>
      <c r="AA19" s="59"/>
      <c r="AB19" s="59"/>
      <c r="AC19" s="59"/>
      <c r="AD19" s="59"/>
      <c r="AE19" s="59"/>
      <c r="AF19" s="59"/>
      <c r="AG19" s="59"/>
    </row>
    <row r="20">
      <c r="A20" s="91"/>
      <c r="B20" s="91"/>
      <c r="C20" s="91"/>
      <c r="D20" s="91"/>
      <c r="E20" s="91"/>
      <c r="F20" s="59"/>
      <c r="G20" s="59"/>
      <c r="H20" s="59"/>
      <c r="I20" s="59"/>
      <c r="J20" s="59"/>
      <c r="K20" s="59"/>
      <c r="L20" s="59"/>
      <c r="M20" s="59"/>
      <c r="N20" s="59"/>
      <c r="O20" s="91"/>
      <c r="P20" s="91"/>
      <c r="Q20" s="91"/>
      <c r="R20" s="91"/>
      <c r="S20" s="91"/>
      <c r="T20" s="91"/>
      <c r="U20" s="91"/>
      <c r="V20" s="91"/>
      <c r="W20" s="91"/>
      <c r="X20" s="59"/>
      <c r="Y20" s="59"/>
      <c r="Z20" s="59"/>
      <c r="AA20" s="59"/>
      <c r="AB20" s="59"/>
      <c r="AC20" s="59"/>
      <c r="AD20" s="59"/>
      <c r="AE20" s="59"/>
      <c r="AF20" s="59"/>
      <c r="AG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sheetData>
  <mergeCells count="19">
    <mergeCell ref="A2:F2"/>
    <mergeCell ref="O2:W2"/>
    <mergeCell ref="A3:F3"/>
    <mergeCell ref="O3:W3"/>
    <mergeCell ref="A4:E4"/>
    <mergeCell ref="O4:W4"/>
    <mergeCell ref="A5:F5"/>
    <mergeCell ref="E13:F13"/>
    <mergeCell ref="E14:F14"/>
    <mergeCell ref="E15:F15"/>
    <mergeCell ref="E17:F17"/>
    <mergeCell ref="E18:F18"/>
    <mergeCell ref="A6:F6"/>
    <mergeCell ref="A7:F7"/>
    <mergeCell ref="A8:B8"/>
    <mergeCell ref="A9:B9"/>
    <mergeCell ref="A10:B10"/>
    <mergeCell ref="A11:B11"/>
    <mergeCell ref="E12:F12"/>
  </mergeCells>
  <dataValidations>
    <dataValidation type="list" allowBlank="1" showErrorMessage="1" sqref="A13:A18">
      <formula1>"Warm-up,Learn,Practice,Review,Quiz"</formula1>
    </dataValidation>
  </dataValidations>
  <hyperlinks>
    <hyperlink r:id="rId1" ref="A8"/>
    <hyperlink r:id="rId2" ref="C8"/>
    <hyperlink r:id="rId3" ref="E8"/>
    <hyperlink r:id="rId4" ref="F8"/>
    <hyperlink r:id="rId5" ref="A10"/>
    <hyperlink r:id="rId6" ref="C10"/>
    <hyperlink r:id="rId7" ref="D10"/>
    <hyperlink r:id="rId8" ref="F10"/>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63.0"/>
    <col customWidth="1" min="3" max="3" width="45.38"/>
    <col customWidth="1" min="4" max="4" width="43.75"/>
    <col customWidth="1" min="5" max="5" width="31.5"/>
    <col customWidth="1" min="6" max="6" width="25.0"/>
    <col customWidth="1" min="7" max="7" width="19.0"/>
    <col customWidth="1" min="8" max="8" width="5.63"/>
    <col customWidth="1" min="9" max="9" width="31.25"/>
    <col customWidth="1" min="10" max="10" width="6.0"/>
    <col customWidth="1" min="11" max="11" width="23.13"/>
    <col customWidth="1" min="12" max="12" width="5.88"/>
    <col customWidth="1" min="13" max="13" width="30.63"/>
    <col customWidth="1" min="14" max="14" width="5.63"/>
    <col customWidth="1" min="15" max="15" width="44.0"/>
    <col customWidth="1" min="16" max="16" width="6.0"/>
    <col customWidth="1" min="17" max="17" width="17.0"/>
    <col customWidth="1" min="18" max="18" width="4.5"/>
    <col customWidth="1" min="19" max="19" width="34.0"/>
    <col customWidth="1" min="20" max="20" width="17.63"/>
    <col customWidth="1" min="21" max="21" width="24.63"/>
    <col customWidth="1" min="22" max="22" width="4.88"/>
    <col customWidth="1" min="23" max="23" width="28.88"/>
    <col customWidth="1" min="24" max="24" width="17.88"/>
    <col customWidth="1" min="25" max="25" width="34.75"/>
    <col customWidth="1" min="26" max="26" width="4.5"/>
    <col customWidth="1" min="27" max="27" width="19.0"/>
    <col customWidth="1" min="28" max="28" width="5.63"/>
    <col customWidth="1" min="29" max="29" width="31.25"/>
    <col customWidth="1" min="30" max="30" width="6.0"/>
    <col customWidth="1" min="31" max="31" width="23.13"/>
    <col customWidth="1" min="32" max="32" width="5.88"/>
    <col customWidth="1" min="33" max="33" width="30.63"/>
  </cols>
  <sheetData>
    <row r="1">
      <c r="A1" s="58"/>
      <c r="B1" s="58"/>
      <c r="C1" s="58"/>
      <c r="D1" s="58"/>
      <c r="E1" s="58"/>
      <c r="F1" s="59"/>
      <c r="G1" s="59"/>
      <c r="H1" s="59"/>
      <c r="I1" s="59"/>
      <c r="J1" s="59"/>
      <c r="K1" s="59"/>
      <c r="L1" s="59"/>
      <c r="M1" s="59"/>
      <c r="N1" s="59"/>
      <c r="O1" s="58"/>
      <c r="P1" s="58"/>
      <c r="Q1" s="58"/>
      <c r="R1" s="58"/>
      <c r="S1" s="58"/>
      <c r="T1" s="58"/>
      <c r="U1" s="58"/>
      <c r="V1" s="58"/>
      <c r="W1" s="58"/>
      <c r="X1" s="59"/>
      <c r="Y1" s="59"/>
      <c r="Z1" s="59"/>
      <c r="AA1" s="59"/>
      <c r="AB1" s="59"/>
      <c r="AC1" s="59"/>
      <c r="AD1" s="59"/>
      <c r="AE1" s="59"/>
      <c r="AF1" s="59"/>
      <c r="AG1" s="59"/>
    </row>
    <row r="2">
      <c r="A2" s="60" t="s">
        <v>1090</v>
      </c>
      <c r="B2" s="61"/>
      <c r="C2" s="61"/>
      <c r="D2" s="61"/>
      <c r="E2" s="61"/>
      <c r="F2" s="62"/>
      <c r="G2" s="59"/>
      <c r="H2" s="59"/>
      <c r="I2" s="59"/>
      <c r="J2" s="59"/>
      <c r="K2" s="59"/>
      <c r="L2" s="59"/>
      <c r="M2" s="59"/>
      <c r="N2" s="59"/>
      <c r="O2" s="63"/>
      <c r="X2" s="59"/>
      <c r="Y2" s="59"/>
      <c r="Z2" s="59"/>
      <c r="AA2" s="59"/>
      <c r="AB2" s="59"/>
      <c r="AC2" s="59"/>
      <c r="AD2" s="59"/>
      <c r="AE2" s="59"/>
      <c r="AF2" s="59"/>
      <c r="AG2" s="59"/>
    </row>
    <row r="3">
      <c r="A3" s="101" t="s">
        <v>1091</v>
      </c>
      <c r="B3" s="61"/>
      <c r="C3" s="61"/>
      <c r="D3" s="61"/>
      <c r="E3" s="61"/>
      <c r="F3" s="62"/>
      <c r="G3" s="59"/>
      <c r="H3" s="59"/>
      <c r="I3" s="59"/>
      <c r="J3" s="59"/>
      <c r="K3" s="59"/>
      <c r="L3" s="59"/>
      <c r="M3" s="59"/>
      <c r="N3" s="59"/>
      <c r="O3" s="65"/>
      <c r="X3" s="59"/>
      <c r="Y3" s="59"/>
      <c r="Z3" s="59"/>
      <c r="AA3" s="59"/>
      <c r="AB3" s="59"/>
      <c r="AC3" s="59"/>
      <c r="AD3" s="59"/>
      <c r="AE3" s="59"/>
      <c r="AF3" s="59"/>
      <c r="AG3" s="59"/>
    </row>
    <row r="4" ht="59.25" customHeight="1">
      <c r="A4" s="66" t="s">
        <v>1092</v>
      </c>
      <c r="G4" s="59"/>
      <c r="H4" s="59"/>
      <c r="I4" s="59"/>
      <c r="J4" s="59"/>
      <c r="K4" s="59"/>
      <c r="L4" s="59"/>
      <c r="M4" s="59"/>
      <c r="N4" s="59"/>
      <c r="O4" s="66"/>
      <c r="X4" s="59"/>
      <c r="Y4" s="59"/>
      <c r="Z4" s="59"/>
      <c r="AA4" s="59"/>
      <c r="AB4" s="59"/>
      <c r="AC4" s="59"/>
      <c r="AD4" s="59"/>
      <c r="AE4" s="59"/>
      <c r="AF4" s="59"/>
      <c r="AG4" s="59"/>
    </row>
    <row r="5">
      <c r="A5" s="67" t="s">
        <v>1093</v>
      </c>
      <c r="B5" s="61"/>
      <c r="C5" s="61"/>
      <c r="D5" s="61"/>
      <c r="E5" s="61"/>
      <c r="F5" s="62"/>
      <c r="G5" s="70"/>
      <c r="H5" s="70"/>
      <c r="I5" s="70"/>
      <c r="J5" s="70"/>
      <c r="K5" s="70"/>
      <c r="L5" s="70"/>
      <c r="M5" s="70"/>
      <c r="N5" s="70"/>
      <c r="O5" s="71"/>
      <c r="P5" s="71"/>
      <c r="Q5" s="71"/>
      <c r="R5" s="71"/>
      <c r="S5" s="71"/>
      <c r="T5" s="71"/>
      <c r="U5" s="71"/>
      <c r="V5" s="71"/>
      <c r="W5" s="71"/>
      <c r="X5" s="70"/>
      <c r="Y5" s="70"/>
      <c r="Z5" s="70"/>
      <c r="AA5" s="70"/>
      <c r="AB5" s="70"/>
      <c r="AC5" s="70"/>
      <c r="AD5" s="70"/>
      <c r="AE5" s="70"/>
      <c r="AF5" s="70"/>
      <c r="AG5" s="70"/>
    </row>
    <row r="6">
      <c r="A6" s="90" t="s">
        <v>1094</v>
      </c>
      <c r="B6" s="61"/>
      <c r="C6" s="61"/>
      <c r="D6" s="61"/>
      <c r="E6" s="61"/>
      <c r="F6" s="62"/>
      <c r="G6" s="70"/>
      <c r="H6" s="70"/>
      <c r="I6" s="70"/>
      <c r="J6" s="70"/>
      <c r="K6" s="70"/>
      <c r="L6" s="70"/>
      <c r="M6" s="70"/>
      <c r="N6" s="70"/>
      <c r="O6" s="71"/>
      <c r="P6" s="71"/>
      <c r="Q6" s="71"/>
      <c r="R6" s="71"/>
      <c r="S6" s="71"/>
      <c r="T6" s="71"/>
      <c r="U6" s="71"/>
      <c r="V6" s="71"/>
      <c r="W6" s="71"/>
      <c r="X6" s="70"/>
      <c r="Y6" s="70"/>
      <c r="Z6" s="70"/>
      <c r="AA6" s="70"/>
      <c r="AB6" s="70"/>
      <c r="AC6" s="70"/>
      <c r="AD6" s="70"/>
      <c r="AE6" s="70"/>
      <c r="AF6" s="70"/>
      <c r="AG6" s="70"/>
    </row>
    <row r="7">
      <c r="A7" s="73" t="s">
        <v>1013</v>
      </c>
      <c r="B7" s="61"/>
      <c r="C7" s="61"/>
      <c r="D7" s="61"/>
      <c r="E7" s="61"/>
      <c r="F7" s="62"/>
      <c r="G7" s="70"/>
      <c r="H7" s="70"/>
      <c r="I7" s="70"/>
      <c r="J7" s="70"/>
      <c r="K7" s="70"/>
      <c r="L7" s="70"/>
      <c r="M7" s="70"/>
      <c r="N7" s="70"/>
      <c r="O7" s="71"/>
      <c r="P7" s="71"/>
      <c r="Q7" s="71"/>
      <c r="R7" s="71"/>
      <c r="S7" s="71"/>
      <c r="T7" s="71"/>
      <c r="U7" s="71"/>
      <c r="V7" s="71"/>
      <c r="W7" s="71"/>
      <c r="X7" s="70"/>
      <c r="Y7" s="70"/>
      <c r="Z7" s="70"/>
      <c r="AA7" s="70"/>
      <c r="AB7" s="70"/>
      <c r="AC7" s="70"/>
      <c r="AD7" s="70"/>
      <c r="AE7" s="70"/>
      <c r="AF7" s="70"/>
      <c r="AG7" s="70"/>
    </row>
    <row r="8">
      <c r="A8" s="74" t="s">
        <v>1014</v>
      </c>
      <c r="B8" s="62"/>
      <c r="C8" s="74" t="s">
        <v>1015</v>
      </c>
      <c r="D8" s="75" t="s">
        <v>1016</v>
      </c>
      <c r="E8" s="76" t="s">
        <v>1017</v>
      </c>
      <c r="F8" s="77" t="s">
        <v>1018</v>
      </c>
      <c r="G8" s="70"/>
      <c r="H8" s="70"/>
      <c r="I8" s="70"/>
      <c r="J8" s="70"/>
      <c r="K8" s="70"/>
      <c r="L8" s="70"/>
      <c r="M8" s="70"/>
      <c r="N8" s="70"/>
      <c r="O8" s="71"/>
      <c r="P8" s="71"/>
      <c r="Q8" s="71"/>
      <c r="R8" s="71"/>
      <c r="S8" s="71"/>
      <c r="T8" s="71"/>
      <c r="U8" s="71"/>
      <c r="V8" s="71"/>
      <c r="W8" s="71"/>
      <c r="X8" s="70"/>
      <c r="Y8" s="70"/>
      <c r="Z8" s="70"/>
      <c r="AA8" s="70"/>
      <c r="AB8" s="70"/>
      <c r="AC8" s="70"/>
      <c r="AD8" s="70"/>
      <c r="AE8" s="70"/>
      <c r="AF8" s="70"/>
      <c r="AG8" s="70"/>
    </row>
    <row r="9">
      <c r="A9" s="78" t="s">
        <v>1095</v>
      </c>
      <c r="B9" s="62"/>
      <c r="C9" s="78" t="s">
        <v>1096</v>
      </c>
      <c r="D9" s="94" t="s">
        <v>1097</v>
      </c>
      <c r="E9" s="80" t="s">
        <v>1098</v>
      </c>
      <c r="F9" s="80" t="s">
        <v>1099</v>
      </c>
      <c r="G9" s="70"/>
      <c r="H9" s="70"/>
      <c r="I9" s="70"/>
      <c r="J9" s="70"/>
      <c r="K9" s="70"/>
      <c r="L9" s="70"/>
      <c r="M9" s="70"/>
      <c r="N9" s="70"/>
      <c r="O9" s="71"/>
      <c r="P9" s="71"/>
      <c r="Q9" s="71"/>
      <c r="R9" s="71"/>
      <c r="S9" s="71"/>
      <c r="T9" s="71"/>
      <c r="U9" s="71"/>
      <c r="V9" s="71"/>
      <c r="W9" s="71"/>
      <c r="X9" s="70"/>
      <c r="Y9" s="70"/>
      <c r="Z9" s="70"/>
      <c r="AA9" s="70"/>
      <c r="AB9" s="70"/>
      <c r="AC9" s="70"/>
      <c r="AD9" s="70"/>
      <c r="AE9" s="70"/>
      <c r="AF9" s="70"/>
      <c r="AG9" s="70"/>
    </row>
    <row r="10">
      <c r="A10" s="74" t="s">
        <v>1024</v>
      </c>
      <c r="B10" s="62"/>
      <c r="C10" s="74" t="s">
        <v>1025</v>
      </c>
      <c r="D10" s="76" t="s">
        <v>691</v>
      </c>
      <c r="E10" s="75" t="s">
        <v>1026</v>
      </c>
      <c r="F10" s="81" t="s">
        <v>1100</v>
      </c>
      <c r="G10" s="70"/>
      <c r="H10" s="70"/>
      <c r="I10" s="70"/>
      <c r="J10" s="70"/>
      <c r="K10" s="70"/>
      <c r="L10" s="70"/>
      <c r="M10" s="70"/>
      <c r="N10" s="70"/>
      <c r="O10" s="71"/>
      <c r="P10" s="71"/>
      <c r="Q10" s="71"/>
      <c r="R10" s="71"/>
      <c r="S10" s="71"/>
      <c r="T10" s="71"/>
      <c r="U10" s="71"/>
      <c r="V10" s="71"/>
      <c r="W10" s="71"/>
      <c r="X10" s="70"/>
      <c r="Y10" s="70"/>
      <c r="Z10" s="70"/>
      <c r="AA10" s="70"/>
      <c r="AB10" s="70"/>
      <c r="AC10" s="70"/>
      <c r="AD10" s="70"/>
      <c r="AE10" s="70"/>
      <c r="AF10" s="70"/>
      <c r="AG10" s="70"/>
    </row>
    <row r="11">
      <c r="A11" s="82" t="s">
        <v>1101</v>
      </c>
      <c r="B11" s="62"/>
      <c r="C11" s="82" t="s">
        <v>1102</v>
      </c>
      <c r="D11" s="80" t="s">
        <v>1103</v>
      </c>
      <c r="E11" s="102" t="s">
        <v>1104</v>
      </c>
      <c r="F11" s="102" t="s">
        <v>1105</v>
      </c>
      <c r="G11" s="70"/>
      <c r="H11" s="70"/>
      <c r="I11" s="70"/>
      <c r="J11" s="70"/>
      <c r="K11" s="70"/>
      <c r="L11" s="70"/>
      <c r="M11" s="70"/>
      <c r="N11" s="70"/>
      <c r="O11" s="71"/>
      <c r="P11" s="71"/>
      <c r="Q11" s="71"/>
      <c r="R11" s="71"/>
      <c r="S11" s="71"/>
      <c r="T11" s="71"/>
      <c r="U11" s="71"/>
      <c r="V11" s="71"/>
      <c r="W11" s="71"/>
      <c r="X11" s="70"/>
      <c r="Y11" s="70"/>
      <c r="Z11" s="70"/>
      <c r="AA11" s="70"/>
      <c r="AB11" s="70"/>
      <c r="AC11" s="70"/>
      <c r="AD11" s="70"/>
      <c r="AE11" s="70"/>
      <c r="AF11" s="70"/>
      <c r="AG11" s="70"/>
    </row>
    <row r="12">
      <c r="A12" s="83" t="s">
        <v>1032</v>
      </c>
      <c r="B12" s="83" t="s">
        <v>1033</v>
      </c>
      <c r="C12" s="83" t="s">
        <v>1034</v>
      </c>
      <c r="D12" s="83" t="s">
        <v>1035</v>
      </c>
      <c r="E12" s="67" t="s">
        <v>1036</v>
      </c>
      <c r="F12" s="62"/>
      <c r="G12" s="70"/>
      <c r="H12" s="70"/>
      <c r="I12" s="70"/>
      <c r="J12" s="70"/>
      <c r="K12" s="70"/>
      <c r="L12" s="70"/>
      <c r="M12" s="70"/>
      <c r="N12" s="70"/>
      <c r="O12" s="71"/>
      <c r="P12" s="71"/>
      <c r="Q12" s="71"/>
      <c r="R12" s="71"/>
      <c r="S12" s="71"/>
      <c r="T12" s="71"/>
      <c r="U12" s="71"/>
      <c r="V12" s="71"/>
      <c r="W12" s="71"/>
      <c r="X12" s="70"/>
      <c r="Y12" s="70"/>
      <c r="Z12" s="70"/>
      <c r="AA12" s="70"/>
      <c r="AB12" s="70"/>
      <c r="AC12" s="70"/>
      <c r="AD12" s="70"/>
      <c r="AE12" s="70"/>
      <c r="AF12" s="70"/>
      <c r="AG12" s="70"/>
    </row>
    <row r="13">
      <c r="A13" s="84" t="str">
        <f>'Chapter Status'!C16</f>
        <v>Warm-up</v>
      </c>
      <c r="B13" s="103" t="str">
        <f>'Chapter Status'!D16</f>
        <v>Greetings and Farewells Basics</v>
      </c>
      <c r="C13" s="104" t="s">
        <v>1106</v>
      </c>
      <c r="D13" s="88" t="s">
        <v>1107</v>
      </c>
      <c r="E13" s="89" t="s">
        <v>1086</v>
      </c>
      <c r="F13" s="62"/>
      <c r="G13" s="70"/>
      <c r="H13" s="70"/>
      <c r="I13" s="70"/>
      <c r="J13" s="70"/>
      <c r="K13" s="70"/>
      <c r="L13" s="70"/>
      <c r="M13" s="70"/>
      <c r="N13" s="70"/>
      <c r="O13" s="71"/>
      <c r="P13" s="71"/>
      <c r="Q13" s="71"/>
      <c r="R13" s="71"/>
      <c r="S13" s="71"/>
      <c r="T13" s="71"/>
      <c r="U13" s="71"/>
      <c r="V13" s="71"/>
      <c r="W13" s="71"/>
      <c r="X13" s="70"/>
      <c r="Y13" s="70"/>
      <c r="Z13" s="70"/>
      <c r="AA13" s="70"/>
      <c r="AB13" s="70"/>
      <c r="AC13" s="70"/>
      <c r="AD13" s="70"/>
      <c r="AE13" s="70"/>
      <c r="AF13" s="70"/>
      <c r="AG13" s="70"/>
    </row>
    <row r="14">
      <c r="A14" s="84" t="str">
        <f>'Chapter Status'!C17</f>
        <v>Learn</v>
      </c>
      <c r="B14" s="103" t="str">
        <f>'Chapter Status'!D17</f>
        <v>Greetings During the Day</v>
      </c>
      <c r="C14" s="104" t="s">
        <v>1108</v>
      </c>
      <c r="D14" s="88" t="s">
        <v>1107</v>
      </c>
      <c r="E14" s="89" t="s">
        <v>1086</v>
      </c>
      <c r="F14" s="62"/>
      <c r="G14" s="70"/>
      <c r="H14" s="70"/>
      <c r="I14" s="70"/>
      <c r="J14" s="70"/>
      <c r="K14" s="70"/>
      <c r="L14" s="70"/>
      <c r="M14" s="70"/>
      <c r="N14" s="70"/>
      <c r="O14" s="71"/>
      <c r="P14" s="71"/>
      <c r="Q14" s="71"/>
      <c r="R14" s="71"/>
      <c r="S14" s="71"/>
      <c r="T14" s="71"/>
      <c r="U14" s="71"/>
      <c r="V14" s="71"/>
      <c r="W14" s="71"/>
      <c r="X14" s="70"/>
      <c r="Y14" s="70"/>
      <c r="Z14" s="70"/>
      <c r="AA14" s="70"/>
      <c r="AB14" s="70"/>
      <c r="AC14" s="70"/>
      <c r="AD14" s="70"/>
      <c r="AE14" s="70"/>
      <c r="AF14" s="70"/>
      <c r="AG14" s="70"/>
    </row>
    <row r="15">
      <c r="A15" s="84" t="str">
        <f>'Chapter Status'!C18</f>
        <v>Practice</v>
      </c>
      <c r="B15" s="103" t="str">
        <f>'Chapter Status'!D18</f>
        <v>Greetings and Farewells Practice</v>
      </c>
      <c r="C15" s="104" t="s">
        <v>1109</v>
      </c>
      <c r="D15" s="88" t="s">
        <v>1107</v>
      </c>
      <c r="E15" s="99" t="s">
        <v>1110</v>
      </c>
      <c r="F15" s="62"/>
      <c r="G15" s="70"/>
      <c r="H15" s="70"/>
      <c r="I15" s="70"/>
      <c r="J15" s="70"/>
      <c r="K15" s="70"/>
      <c r="L15" s="70"/>
      <c r="M15" s="70"/>
      <c r="N15" s="70"/>
      <c r="O15" s="71"/>
      <c r="P15" s="71"/>
      <c r="Q15" s="71"/>
      <c r="R15" s="71"/>
      <c r="S15" s="71"/>
      <c r="T15" s="71"/>
      <c r="U15" s="71"/>
      <c r="V15" s="71"/>
      <c r="W15" s="71"/>
      <c r="X15" s="70"/>
      <c r="Y15" s="70"/>
      <c r="Z15" s="70"/>
      <c r="AA15" s="70"/>
      <c r="AB15" s="70"/>
      <c r="AC15" s="70"/>
      <c r="AD15" s="70"/>
      <c r="AE15" s="70"/>
      <c r="AF15" s="70"/>
      <c r="AG15" s="70"/>
    </row>
    <row r="16">
      <c r="A16" s="84" t="str">
        <f>'Chapter Status'!C19</f>
        <v>Review</v>
      </c>
      <c r="B16" s="103" t="str">
        <f>'Chapter Status'!D19</f>
        <v>Greetings and Farewells Review</v>
      </c>
      <c r="C16" s="88" t="s">
        <v>1043</v>
      </c>
      <c r="D16" s="88" t="s">
        <v>1107</v>
      </c>
      <c r="E16" s="99"/>
      <c r="F16" s="62"/>
      <c r="G16" s="70"/>
      <c r="H16" s="70"/>
      <c r="I16" s="70"/>
      <c r="J16" s="70"/>
      <c r="K16" s="70"/>
      <c r="L16" s="70"/>
      <c r="M16" s="70"/>
      <c r="N16" s="70"/>
      <c r="O16" s="71"/>
      <c r="P16" s="71"/>
      <c r="Q16" s="71"/>
      <c r="R16" s="71"/>
      <c r="S16" s="71"/>
      <c r="T16" s="71"/>
      <c r="U16" s="71"/>
      <c r="V16" s="71"/>
      <c r="W16" s="71"/>
      <c r="X16" s="70"/>
      <c r="Y16" s="70"/>
      <c r="Z16" s="70"/>
      <c r="AA16" s="70"/>
      <c r="AB16" s="70"/>
      <c r="AC16" s="70"/>
      <c r="AD16" s="70"/>
      <c r="AE16" s="70"/>
      <c r="AF16" s="70"/>
      <c r="AG16" s="70"/>
    </row>
    <row r="17">
      <c r="A17" s="84" t="str">
        <f>'Chapter Status'!C20</f>
        <v>Quiz</v>
      </c>
      <c r="B17" s="103" t="str">
        <f>'Chapter Status'!D20</f>
        <v>Greetings and Farewells Quiz</v>
      </c>
      <c r="C17" s="88" t="s">
        <v>1045</v>
      </c>
      <c r="D17" s="88" t="s">
        <v>1107</v>
      </c>
      <c r="E17" s="90" t="s">
        <v>1046</v>
      </c>
      <c r="F17" s="62"/>
      <c r="G17" s="70"/>
      <c r="H17" s="70"/>
      <c r="I17" s="70"/>
      <c r="J17" s="70"/>
      <c r="K17" s="70"/>
      <c r="L17" s="70"/>
      <c r="M17" s="70"/>
      <c r="N17" s="70"/>
      <c r="O17" s="71"/>
      <c r="P17" s="71"/>
      <c r="Q17" s="71"/>
      <c r="R17" s="71"/>
      <c r="S17" s="71"/>
      <c r="T17" s="71"/>
      <c r="U17" s="71"/>
      <c r="V17" s="71"/>
      <c r="W17" s="71"/>
      <c r="X17" s="70"/>
      <c r="Y17" s="70"/>
      <c r="Z17" s="70"/>
      <c r="AA17" s="70"/>
      <c r="AB17" s="70"/>
      <c r="AC17" s="70"/>
      <c r="AD17" s="70"/>
      <c r="AE17" s="70"/>
      <c r="AF17" s="70"/>
      <c r="AG17" s="70"/>
    </row>
    <row r="18">
      <c r="A18" s="91"/>
      <c r="B18" s="91"/>
      <c r="C18" s="91"/>
      <c r="D18" s="91"/>
      <c r="E18" s="91"/>
      <c r="F18" s="59"/>
      <c r="G18" s="59"/>
      <c r="H18" s="59"/>
      <c r="I18" s="59"/>
      <c r="J18" s="59"/>
      <c r="K18" s="59"/>
      <c r="L18" s="59"/>
      <c r="M18" s="59"/>
      <c r="N18" s="59"/>
      <c r="O18" s="91"/>
      <c r="P18" s="91"/>
      <c r="Q18" s="91"/>
      <c r="R18" s="91"/>
      <c r="S18" s="91"/>
      <c r="T18" s="91"/>
      <c r="U18" s="91"/>
      <c r="V18" s="91"/>
      <c r="W18" s="91"/>
      <c r="X18" s="59"/>
      <c r="Y18" s="59"/>
      <c r="Z18" s="59"/>
      <c r="AA18" s="59"/>
      <c r="AB18" s="59"/>
      <c r="AC18" s="59"/>
      <c r="AD18" s="59"/>
      <c r="AE18" s="59"/>
      <c r="AF18" s="59"/>
      <c r="AG18" s="59"/>
    </row>
    <row r="19">
      <c r="A19" s="91"/>
      <c r="B19" s="91"/>
      <c r="C19" s="91"/>
      <c r="D19" s="91"/>
      <c r="E19" s="91"/>
      <c r="F19" s="59"/>
      <c r="G19" s="59"/>
      <c r="H19" s="59"/>
      <c r="I19" s="59"/>
      <c r="J19" s="59"/>
      <c r="K19" s="59"/>
      <c r="L19" s="59"/>
      <c r="M19" s="59"/>
      <c r="N19" s="59"/>
      <c r="O19" s="91"/>
      <c r="P19" s="91"/>
      <c r="Q19" s="91"/>
      <c r="R19" s="91"/>
      <c r="S19" s="91"/>
      <c r="T19" s="91"/>
      <c r="U19" s="91"/>
      <c r="V19" s="91"/>
      <c r="W19" s="91"/>
      <c r="X19" s="59"/>
      <c r="Y19" s="59"/>
      <c r="Z19" s="59"/>
      <c r="AA19" s="59"/>
      <c r="AB19" s="59"/>
      <c r="AC19" s="59"/>
      <c r="AD19" s="59"/>
      <c r="AE19" s="59"/>
      <c r="AF19" s="59"/>
      <c r="AG19" s="59"/>
    </row>
    <row r="20">
      <c r="A20" s="91"/>
      <c r="F20" s="59"/>
      <c r="G20" s="59"/>
      <c r="H20" s="59"/>
      <c r="I20" s="59"/>
      <c r="J20" s="59"/>
      <c r="K20" s="59"/>
      <c r="L20" s="59"/>
      <c r="M20" s="59"/>
      <c r="N20" s="59"/>
      <c r="O20" s="91"/>
      <c r="X20" s="59"/>
      <c r="Y20" s="59"/>
      <c r="Z20" s="59"/>
      <c r="AA20" s="59"/>
      <c r="AB20" s="59"/>
      <c r="AC20" s="59"/>
      <c r="AD20" s="59"/>
      <c r="AE20" s="59"/>
      <c r="AF20" s="59"/>
      <c r="AG20" s="59"/>
    </row>
    <row r="21">
      <c r="A21" s="92" t="s">
        <v>1111</v>
      </c>
      <c r="B21" s="61"/>
      <c r="C21" s="61"/>
      <c r="D21" s="61"/>
      <c r="E21" s="61"/>
      <c r="F21" s="62"/>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row>
    <row r="22">
      <c r="A22" s="93" t="s">
        <v>1112</v>
      </c>
      <c r="B22" s="61"/>
      <c r="C22" s="61"/>
      <c r="D22" s="61"/>
      <c r="E22" s="61"/>
      <c r="F22" s="62"/>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row>
    <row r="23">
      <c r="A23" s="105" t="s">
        <v>1113</v>
      </c>
      <c r="B23" s="61"/>
      <c r="C23" s="61"/>
      <c r="D23" s="61"/>
      <c r="E23" s="61"/>
      <c r="F23" s="62"/>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row>
    <row r="24">
      <c r="A24" s="106" t="s">
        <v>1014</v>
      </c>
      <c r="B24" s="62"/>
      <c r="C24" s="106" t="s">
        <v>1015</v>
      </c>
      <c r="D24" s="107" t="s">
        <v>1016</v>
      </c>
      <c r="E24" s="108" t="s">
        <v>1017</v>
      </c>
      <c r="F24" s="108" t="s">
        <v>1018</v>
      </c>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row>
    <row r="25">
      <c r="A25" s="72" t="s">
        <v>1114</v>
      </c>
      <c r="B25" s="62"/>
      <c r="C25" s="93" t="s">
        <v>1115</v>
      </c>
      <c r="D25" s="109" t="s">
        <v>1116</v>
      </c>
      <c r="E25" s="110" t="s">
        <v>1117</v>
      </c>
      <c r="F25" s="110" t="s">
        <v>1118</v>
      </c>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row>
    <row r="26">
      <c r="A26" s="106" t="s">
        <v>1024</v>
      </c>
      <c r="B26" s="62"/>
      <c r="C26" s="106" t="s">
        <v>1025</v>
      </c>
      <c r="D26" s="108" t="s">
        <v>691</v>
      </c>
      <c r="E26" s="107" t="s">
        <v>1026</v>
      </c>
      <c r="F26" s="108" t="s">
        <v>1119</v>
      </c>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row>
    <row r="27">
      <c r="A27" s="64" t="s">
        <v>1120</v>
      </c>
      <c r="B27" s="62"/>
      <c r="C27" s="64" t="s">
        <v>1121</v>
      </c>
      <c r="D27" s="88" t="s">
        <v>1122</v>
      </c>
      <c r="E27" s="102" t="s">
        <v>1104</v>
      </c>
      <c r="F27" s="102" t="s">
        <v>1104</v>
      </c>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row>
    <row r="28">
      <c r="A28" s="95" t="s">
        <v>1032</v>
      </c>
      <c r="B28" s="95" t="s">
        <v>1033</v>
      </c>
      <c r="C28" s="95" t="s">
        <v>1034</v>
      </c>
      <c r="D28" s="95" t="s">
        <v>1035</v>
      </c>
      <c r="E28" s="111" t="s">
        <v>1123</v>
      </c>
      <c r="F28" s="62"/>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row>
    <row r="29">
      <c r="A29" s="96" t="str">
        <f>'Chapter Status'!C22</f>
        <v>Warm-up</v>
      </c>
      <c r="B29" s="88" t="str">
        <f>'Chapter Status'!D22</f>
        <v>Introducing Yourself Basics</v>
      </c>
      <c r="C29" s="88" t="s">
        <v>1124</v>
      </c>
      <c r="D29" s="88" t="s">
        <v>1125</v>
      </c>
      <c r="E29" s="93"/>
      <c r="F29" s="62"/>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row>
    <row r="30">
      <c r="A30" s="96" t="str">
        <f>'Chapter Status'!C23</f>
        <v>Learn</v>
      </c>
      <c r="B30" s="88" t="str">
        <f>'Chapter Status'!D23</f>
        <v>Meet Luna</v>
      </c>
      <c r="C30" s="88" t="s">
        <v>1126</v>
      </c>
      <c r="D30" s="88" t="s">
        <v>1127</v>
      </c>
      <c r="E30" s="93"/>
      <c r="F30" s="62"/>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row>
    <row r="31">
      <c r="A31" s="96" t="str">
        <f>'Chapter Status'!C24</f>
        <v>Learn</v>
      </c>
      <c r="B31" s="88" t="str">
        <f>'Chapter Status'!D24</f>
        <v>Meet Mateo</v>
      </c>
      <c r="C31" s="88" t="s">
        <v>1128</v>
      </c>
      <c r="D31" s="88" t="s">
        <v>1129</v>
      </c>
      <c r="E31" s="112"/>
      <c r="F31" s="62"/>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row>
    <row r="32">
      <c r="A32" s="96" t="str">
        <f>'Chapter Status'!C25</f>
        <v>Learn</v>
      </c>
      <c r="B32" s="88" t="str">
        <f>'Chapter Status'!D25</f>
        <v>Meet Julieta</v>
      </c>
      <c r="C32" s="88" t="s">
        <v>1130</v>
      </c>
      <c r="D32" s="88" t="s">
        <v>1131</v>
      </c>
      <c r="E32" s="112"/>
      <c r="F32" s="62"/>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row>
    <row r="33">
      <c r="A33" s="96" t="str">
        <f>'Chapter Status'!C26</f>
        <v>Practice</v>
      </c>
      <c r="B33" s="88" t="str">
        <f>'Chapter Status'!D26</f>
        <v>Introducing Yourself Practice</v>
      </c>
      <c r="C33" s="88" t="s">
        <v>1132</v>
      </c>
      <c r="D33" s="88" t="s">
        <v>1133</v>
      </c>
      <c r="E33" s="93" t="s">
        <v>1110</v>
      </c>
      <c r="F33" s="62"/>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c r="A34" s="96" t="str">
        <f>'Chapter Status'!C27</f>
        <v>Review</v>
      </c>
      <c r="B34" s="88" t="str">
        <f>'Chapter Status'!D27</f>
        <v>Introducing Yourself Review</v>
      </c>
      <c r="C34" s="88" t="s">
        <v>1043</v>
      </c>
      <c r="D34" s="88" t="s">
        <v>1107</v>
      </c>
      <c r="E34" s="112"/>
      <c r="F34" s="62"/>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row>
    <row r="35">
      <c r="A35" s="96" t="str">
        <f>'Chapter Status'!C28</f>
        <v>Quiz</v>
      </c>
      <c r="B35" s="88" t="str">
        <f>'Chapter Status'!D28</f>
        <v>Introducing Yourself Quiz</v>
      </c>
      <c r="C35" s="88" t="s">
        <v>1045</v>
      </c>
      <c r="D35" s="88" t="s">
        <v>1107</v>
      </c>
      <c r="E35" s="90" t="s">
        <v>1046</v>
      </c>
      <c r="F35" s="62"/>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92" t="s">
        <v>1134</v>
      </c>
      <c r="B38" s="61"/>
      <c r="C38" s="61"/>
      <c r="D38" s="61"/>
      <c r="E38" s="61"/>
      <c r="F38" s="62"/>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93" t="s">
        <v>1135</v>
      </c>
      <c r="B39" s="61"/>
      <c r="C39" s="61"/>
      <c r="D39" s="61"/>
      <c r="E39" s="61"/>
      <c r="F39" s="62"/>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105" t="s">
        <v>1136</v>
      </c>
      <c r="B40" s="61"/>
      <c r="C40" s="61"/>
      <c r="D40" s="61"/>
      <c r="E40" s="61"/>
      <c r="F40" s="62"/>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106" t="s">
        <v>1014</v>
      </c>
      <c r="B41" s="62"/>
      <c r="C41" s="106" t="s">
        <v>1015</v>
      </c>
      <c r="D41" s="107" t="s">
        <v>1016</v>
      </c>
      <c r="E41" s="108" t="s">
        <v>1017</v>
      </c>
      <c r="F41" s="108" t="s">
        <v>1018</v>
      </c>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72" t="s">
        <v>1137</v>
      </c>
      <c r="B42" s="62"/>
      <c r="C42" s="93" t="s">
        <v>1138</v>
      </c>
      <c r="D42" s="109" t="s">
        <v>1139</v>
      </c>
      <c r="E42" s="110" t="s">
        <v>1140</v>
      </c>
      <c r="F42" s="110" t="s">
        <v>1141</v>
      </c>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106" t="s">
        <v>1024</v>
      </c>
      <c r="B43" s="62"/>
      <c r="C43" s="106" t="s">
        <v>1025</v>
      </c>
      <c r="D43" s="108" t="s">
        <v>691</v>
      </c>
      <c r="E43" s="107" t="s">
        <v>1026</v>
      </c>
      <c r="F43" s="108" t="s">
        <v>1142</v>
      </c>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64" t="s">
        <v>1143</v>
      </c>
      <c r="B44" s="62"/>
      <c r="C44" s="64" t="s">
        <v>1144</v>
      </c>
      <c r="D44" s="88" t="s">
        <v>1145</v>
      </c>
      <c r="E44" s="102" t="s">
        <v>1104</v>
      </c>
      <c r="F44" s="102" t="s">
        <v>1104</v>
      </c>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95" t="s">
        <v>1032</v>
      </c>
      <c r="B45" s="95" t="s">
        <v>1033</v>
      </c>
      <c r="C45" s="95" t="s">
        <v>1034</v>
      </c>
      <c r="D45" s="95" t="s">
        <v>1035</v>
      </c>
      <c r="E45" s="67" t="s">
        <v>1036</v>
      </c>
      <c r="F45" s="62"/>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96" t="str">
        <f>'Chapter Status'!C30</f>
        <v>Warm-up</v>
      </c>
      <c r="B46" s="88" t="str">
        <f>'Chapter Status'!D30</f>
        <v>First Questions Basics</v>
      </c>
      <c r="C46" s="88" t="s">
        <v>1146</v>
      </c>
      <c r="D46" s="88" t="s">
        <v>1107</v>
      </c>
      <c r="E46" s="89" t="s">
        <v>1086</v>
      </c>
      <c r="F46" s="62"/>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96" t="str">
        <f>'Chapter Status'!C31</f>
        <v>Learn</v>
      </c>
      <c r="B47" s="88" t="str">
        <f>'Chapter Status'!D31</f>
        <v>Meet Angela and Basti</v>
      </c>
      <c r="C47" s="88" t="s">
        <v>1147</v>
      </c>
      <c r="D47" s="88" t="s">
        <v>1107</v>
      </c>
      <c r="E47" s="89" t="s">
        <v>1148</v>
      </c>
      <c r="F47" s="62"/>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96" t="str">
        <f>'Chapter Status'!C32</f>
        <v>Practice</v>
      </c>
      <c r="B48" s="88" t="str">
        <f>'Chapter Status'!D32</f>
        <v>First Questions Practice</v>
      </c>
      <c r="C48" s="88" t="s">
        <v>1149</v>
      </c>
      <c r="D48" s="88" t="s">
        <v>1150</v>
      </c>
      <c r="E48" s="99" t="s">
        <v>1110</v>
      </c>
      <c r="F48" s="62"/>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96" t="str">
        <f>'Chapter Status'!C33</f>
        <v>Review</v>
      </c>
      <c r="B49" s="88" t="str">
        <f>'Chapter Status'!D33</f>
        <v>First Questions Review</v>
      </c>
      <c r="C49" s="113"/>
      <c r="D49" s="88" t="s">
        <v>1107</v>
      </c>
      <c r="E49" s="99"/>
      <c r="F49" s="62"/>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96" t="str">
        <f>'Chapter Status'!C34</f>
        <v>Quiz</v>
      </c>
      <c r="B50" s="88" t="str">
        <f>'Chapter Status'!D34</f>
        <v>First Questions Quiz</v>
      </c>
      <c r="C50" s="113"/>
      <c r="D50" s="88" t="s">
        <v>1107</v>
      </c>
      <c r="E50" s="90" t="s">
        <v>1046</v>
      </c>
      <c r="F50" s="62"/>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row>
  </sheetData>
  <mergeCells count="49">
    <mergeCell ref="A2:F2"/>
    <mergeCell ref="O2:W2"/>
    <mergeCell ref="A3:F3"/>
    <mergeCell ref="O3:W3"/>
    <mergeCell ref="A4:F4"/>
    <mergeCell ref="O4:W4"/>
    <mergeCell ref="A5:F5"/>
    <mergeCell ref="A6:F6"/>
    <mergeCell ref="A7:F7"/>
    <mergeCell ref="A8:B8"/>
    <mergeCell ref="A9:B9"/>
    <mergeCell ref="A10:B10"/>
    <mergeCell ref="A11:B11"/>
    <mergeCell ref="E12:F12"/>
    <mergeCell ref="E13:F13"/>
    <mergeCell ref="E14:F14"/>
    <mergeCell ref="E15:F15"/>
    <mergeCell ref="E16:F16"/>
    <mergeCell ref="E17:F17"/>
    <mergeCell ref="A20:E20"/>
    <mergeCell ref="O20:W20"/>
    <mergeCell ref="A21:F21"/>
    <mergeCell ref="A22:F22"/>
    <mergeCell ref="A23:F23"/>
    <mergeCell ref="A24:B24"/>
    <mergeCell ref="A25:B25"/>
    <mergeCell ref="A26:B26"/>
    <mergeCell ref="A27:B27"/>
    <mergeCell ref="E28:F28"/>
    <mergeCell ref="E29:F29"/>
    <mergeCell ref="E30:F30"/>
    <mergeCell ref="E31:F31"/>
    <mergeCell ref="E32:F32"/>
    <mergeCell ref="E33:F33"/>
    <mergeCell ref="E34:F34"/>
    <mergeCell ref="A44:B44"/>
    <mergeCell ref="E45:F45"/>
    <mergeCell ref="E46:F46"/>
    <mergeCell ref="E47:F47"/>
    <mergeCell ref="E48:F48"/>
    <mergeCell ref="E49:F49"/>
    <mergeCell ref="E50:F50"/>
    <mergeCell ref="E35:F35"/>
    <mergeCell ref="A38:F38"/>
    <mergeCell ref="A39:F39"/>
    <mergeCell ref="A40:F40"/>
    <mergeCell ref="A41:B41"/>
    <mergeCell ref="A42:B42"/>
    <mergeCell ref="A43:B43"/>
  </mergeCells>
  <dataValidations>
    <dataValidation type="list" allowBlank="1" showErrorMessage="1" sqref="A13:A17 A29:A35 A46:A50">
      <formula1>"Warm-up,Learn,Practice,Review,Quiz"</formula1>
    </dataValidation>
  </dataValidations>
  <hyperlinks>
    <hyperlink r:id="rId1" ref="A8"/>
    <hyperlink r:id="rId2" ref="C8"/>
    <hyperlink r:id="rId3" ref="E8"/>
    <hyperlink r:id="rId4" ref="F8"/>
    <hyperlink r:id="rId5" ref="A10"/>
    <hyperlink r:id="rId6" ref="C10"/>
    <hyperlink r:id="rId7" ref="D10"/>
    <hyperlink r:id="rId8" ref="F10"/>
    <hyperlink r:id="rId9" ref="A24"/>
    <hyperlink r:id="rId10" ref="C24"/>
    <hyperlink r:id="rId11" ref="E24"/>
    <hyperlink r:id="rId12" ref="F24"/>
    <hyperlink r:id="rId13" ref="A26"/>
    <hyperlink r:id="rId14" ref="C26"/>
    <hyperlink r:id="rId15" ref="D26"/>
    <hyperlink r:id="rId16" ref="F26"/>
    <hyperlink r:id="rId17" ref="A41"/>
    <hyperlink r:id="rId18" ref="C41"/>
    <hyperlink r:id="rId19" ref="E41"/>
    <hyperlink r:id="rId20" ref="F41"/>
    <hyperlink r:id="rId21" ref="A43"/>
    <hyperlink r:id="rId22" ref="C43"/>
    <hyperlink r:id="rId23" ref="D43"/>
    <hyperlink r:id="rId24" ref="F43"/>
  </hyperlinks>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8.63"/>
    <col customWidth="1" min="3" max="3" width="59.75"/>
    <col customWidth="1" min="4" max="4" width="46.63"/>
    <col customWidth="1" min="5" max="5" width="40.5"/>
    <col customWidth="1" min="6" max="6" width="34.75"/>
    <col customWidth="1" min="7" max="7" width="19.0"/>
    <col customWidth="1" min="8" max="8" width="5.63"/>
    <col customWidth="1" min="9" max="9" width="31.25"/>
    <col customWidth="1" min="10" max="10" width="6.0"/>
    <col customWidth="1" min="11" max="11" width="23.13"/>
    <col customWidth="1" min="12" max="12" width="5.88"/>
    <col customWidth="1" min="13" max="13" width="30.63"/>
    <col customWidth="1" min="14" max="14" width="5.63"/>
    <col customWidth="1" min="15" max="15" width="44.0"/>
    <col customWidth="1" min="16" max="16" width="6.0"/>
    <col customWidth="1" min="17" max="17" width="17.0"/>
    <col customWidth="1" min="18" max="18" width="4.5"/>
    <col customWidth="1" min="19" max="19" width="34.0"/>
    <col customWidth="1" min="20" max="20" width="17.63"/>
    <col customWidth="1" min="21" max="21" width="24.63"/>
    <col customWidth="1" min="22" max="22" width="4.88"/>
    <col customWidth="1" min="23" max="23" width="28.88"/>
    <col customWidth="1" min="24" max="24" width="17.88"/>
    <col customWidth="1" min="25" max="25" width="34.75"/>
    <col customWidth="1" min="26" max="26" width="4.5"/>
    <col customWidth="1" min="27" max="27" width="19.0"/>
    <col customWidth="1" min="28" max="28" width="5.63"/>
    <col customWidth="1" min="29" max="29" width="31.25"/>
    <col customWidth="1" min="30" max="30" width="6.0"/>
    <col customWidth="1" min="31" max="31" width="23.13"/>
    <col customWidth="1" min="32" max="32" width="5.88"/>
    <col customWidth="1" min="33" max="33" width="30.63"/>
  </cols>
  <sheetData>
    <row r="1">
      <c r="A1" s="58"/>
      <c r="B1" s="58"/>
      <c r="C1" s="58"/>
      <c r="D1" s="58"/>
      <c r="E1" s="58"/>
      <c r="F1" s="59"/>
      <c r="G1" s="59"/>
      <c r="H1" s="59"/>
      <c r="I1" s="59"/>
      <c r="J1" s="59"/>
      <c r="K1" s="59"/>
      <c r="L1" s="59"/>
      <c r="M1" s="59"/>
      <c r="N1" s="59"/>
      <c r="O1" s="58"/>
      <c r="P1" s="58"/>
      <c r="Q1" s="58"/>
      <c r="R1" s="58"/>
      <c r="S1" s="58"/>
      <c r="T1" s="58"/>
      <c r="U1" s="58"/>
      <c r="V1" s="58"/>
      <c r="W1" s="58"/>
      <c r="X1" s="59"/>
      <c r="Y1" s="59"/>
      <c r="Z1" s="59"/>
      <c r="AA1" s="59"/>
      <c r="AB1" s="59"/>
      <c r="AC1" s="59"/>
      <c r="AD1" s="59"/>
      <c r="AE1" s="59"/>
      <c r="AF1" s="59"/>
      <c r="AG1" s="59"/>
    </row>
    <row r="2">
      <c r="A2" s="60" t="s">
        <v>1151</v>
      </c>
      <c r="B2" s="61"/>
      <c r="C2" s="61"/>
      <c r="D2" s="61"/>
      <c r="E2" s="61"/>
      <c r="F2" s="62"/>
      <c r="G2" s="59"/>
      <c r="H2" s="59"/>
      <c r="I2" s="59"/>
      <c r="J2" s="59"/>
      <c r="K2" s="59"/>
      <c r="L2" s="59"/>
      <c r="M2" s="59"/>
      <c r="N2" s="59"/>
      <c r="O2" s="63"/>
      <c r="X2" s="59"/>
      <c r="Y2" s="59"/>
      <c r="Z2" s="59"/>
      <c r="AA2" s="59"/>
      <c r="AB2" s="59"/>
      <c r="AC2" s="59"/>
      <c r="AD2" s="59"/>
      <c r="AE2" s="59"/>
      <c r="AF2" s="59"/>
      <c r="AG2" s="59"/>
    </row>
    <row r="3">
      <c r="A3" s="64" t="s">
        <v>1152</v>
      </c>
      <c r="B3" s="61"/>
      <c r="C3" s="61"/>
      <c r="D3" s="61"/>
      <c r="E3" s="61"/>
      <c r="F3" s="62"/>
      <c r="G3" s="59"/>
      <c r="H3" s="59"/>
      <c r="I3" s="59"/>
      <c r="J3" s="59"/>
      <c r="K3" s="59"/>
      <c r="L3" s="59"/>
      <c r="M3" s="59"/>
      <c r="N3" s="59"/>
      <c r="O3" s="65"/>
      <c r="X3" s="59"/>
      <c r="Y3" s="59"/>
      <c r="Z3" s="59"/>
      <c r="AA3" s="59"/>
      <c r="AB3" s="59"/>
      <c r="AC3" s="59"/>
      <c r="AD3" s="59"/>
      <c r="AE3" s="59"/>
      <c r="AF3" s="59"/>
      <c r="AG3" s="59"/>
    </row>
    <row r="4">
      <c r="A4" s="66" t="s">
        <v>1153</v>
      </c>
      <c r="G4" s="59"/>
      <c r="H4" s="59"/>
      <c r="I4" s="59"/>
      <c r="J4" s="59"/>
      <c r="K4" s="59"/>
      <c r="L4" s="59"/>
      <c r="M4" s="59"/>
      <c r="N4" s="59"/>
      <c r="O4" s="66"/>
      <c r="X4" s="59"/>
      <c r="Y4" s="59"/>
      <c r="Z4" s="59"/>
      <c r="AA4" s="59"/>
      <c r="AB4" s="59"/>
      <c r="AC4" s="59"/>
      <c r="AD4" s="59"/>
      <c r="AE4" s="59"/>
      <c r="AF4" s="59"/>
      <c r="AG4" s="59"/>
    </row>
    <row r="5">
      <c r="A5" s="67" t="s">
        <v>1154</v>
      </c>
      <c r="B5" s="61"/>
      <c r="C5" s="61"/>
      <c r="D5" s="61"/>
      <c r="E5" s="61"/>
      <c r="F5" s="62"/>
      <c r="G5" s="70"/>
      <c r="H5" s="70"/>
      <c r="I5" s="70"/>
      <c r="J5" s="70"/>
      <c r="K5" s="70"/>
      <c r="L5" s="70"/>
      <c r="M5" s="70"/>
      <c r="N5" s="70"/>
      <c r="O5" s="71"/>
      <c r="P5" s="71"/>
      <c r="Q5" s="71"/>
      <c r="R5" s="71"/>
      <c r="S5" s="71"/>
      <c r="T5" s="71"/>
      <c r="U5" s="71"/>
      <c r="V5" s="71"/>
      <c r="W5" s="71"/>
      <c r="X5" s="70"/>
      <c r="Y5" s="70"/>
      <c r="Z5" s="70"/>
      <c r="AA5" s="70"/>
      <c r="AB5" s="70"/>
      <c r="AC5" s="70"/>
      <c r="AD5" s="70"/>
      <c r="AE5" s="70"/>
      <c r="AF5" s="70"/>
      <c r="AG5" s="70"/>
    </row>
    <row r="6">
      <c r="A6" s="72" t="s">
        <v>1155</v>
      </c>
      <c r="B6" s="61"/>
      <c r="C6" s="61"/>
      <c r="D6" s="61"/>
      <c r="E6" s="61"/>
      <c r="F6" s="62"/>
      <c r="G6" s="70"/>
      <c r="H6" s="70"/>
      <c r="I6" s="70"/>
      <c r="J6" s="70"/>
      <c r="K6" s="70"/>
      <c r="L6" s="70"/>
      <c r="M6" s="70"/>
      <c r="N6" s="70"/>
      <c r="O6" s="71"/>
      <c r="P6" s="71"/>
      <c r="Q6" s="71"/>
      <c r="R6" s="71"/>
      <c r="S6" s="71"/>
      <c r="T6" s="71"/>
      <c r="U6" s="71"/>
      <c r="V6" s="71"/>
      <c r="W6" s="71"/>
      <c r="X6" s="70"/>
      <c r="Y6" s="70"/>
      <c r="Z6" s="70"/>
      <c r="AA6" s="70"/>
      <c r="AB6" s="70"/>
      <c r="AC6" s="70"/>
      <c r="AD6" s="70"/>
      <c r="AE6" s="70"/>
      <c r="AF6" s="70"/>
      <c r="AG6" s="70"/>
    </row>
    <row r="7">
      <c r="A7" s="73" t="s">
        <v>1013</v>
      </c>
      <c r="B7" s="61"/>
      <c r="C7" s="61"/>
      <c r="D7" s="61"/>
      <c r="E7" s="61"/>
      <c r="F7" s="62"/>
      <c r="G7" s="70"/>
      <c r="H7" s="70"/>
      <c r="I7" s="70"/>
      <c r="J7" s="70"/>
      <c r="K7" s="70"/>
      <c r="L7" s="70"/>
      <c r="M7" s="70"/>
      <c r="N7" s="70"/>
      <c r="O7" s="71"/>
      <c r="P7" s="71"/>
      <c r="Q7" s="71"/>
      <c r="R7" s="71"/>
      <c r="S7" s="71"/>
      <c r="T7" s="71"/>
      <c r="U7" s="71"/>
      <c r="V7" s="71"/>
      <c r="W7" s="71"/>
      <c r="X7" s="70"/>
      <c r="Y7" s="70"/>
      <c r="Z7" s="70"/>
      <c r="AA7" s="70"/>
      <c r="AB7" s="70"/>
      <c r="AC7" s="70"/>
      <c r="AD7" s="70"/>
      <c r="AE7" s="70"/>
      <c r="AF7" s="70"/>
      <c r="AG7" s="70"/>
    </row>
    <row r="8">
      <c r="A8" s="74" t="s">
        <v>1014</v>
      </c>
      <c r="B8" s="62"/>
      <c r="C8" s="74" t="s">
        <v>1015</v>
      </c>
      <c r="D8" s="75" t="s">
        <v>1016</v>
      </c>
      <c r="E8" s="76" t="s">
        <v>1017</v>
      </c>
      <c r="F8" s="77" t="s">
        <v>1018</v>
      </c>
      <c r="G8" s="70"/>
      <c r="H8" s="70"/>
      <c r="I8" s="70"/>
      <c r="J8" s="70"/>
      <c r="K8" s="70"/>
      <c r="L8" s="70"/>
      <c r="M8" s="70"/>
      <c r="N8" s="70"/>
      <c r="O8" s="71"/>
      <c r="P8" s="71"/>
      <c r="Q8" s="71"/>
      <c r="R8" s="71"/>
      <c r="S8" s="71"/>
      <c r="T8" s="71"/>
      <c r="U8" s="71"/>
      <c r="V8" s="71"/>
      <c r="W8" s="71"/>
      <c r="X8" s="70"/>
      <c r="Y8" s="70"/>
      <c r="Z8" s="70"/>
      <c r="AA8" s="70"/>
      <c r="AB8" s="70"/>
      <c r="AC8" s="70"/>
      <c r="AD8" s="70"/>
      <c r="AE8" s="70"/>
      <c r="AF8" s="70"/>
      <c r="AG8" s="70"/>
    </row>
    <row r="9">
      <c r="A9" s="72" t="s">
        <v>1156</v>
      </c>
      <c r="B9" s="62"/>
      <c r="C9" s="78" t="s">
        <v>1157</v>
      </c>
      <c r="D9" s="94" t="s">
        <v>1078</v>
      </c>
      <c r="E9" s="80" t="s">
        <v>1158</v>
      </c>
      <c r="F9" s="80" t="s">
        <v>1080</v>
      </c>
      <c r="G9" s="70"/>
      <c r="H9" s="70"/>
      <c r="I9" s="70"/>
      <c r="J9" s="70"/>
      <c r="K9" s="70"/>
      <c r="L9" s="70"/>
      <c r="M9" s="70"/>
      <c r="N9" s="70"/>
      <c r="O9" s="71"/>
      <c r="P9" s="71"/>
      <c r="Q9" s="71"/>
      <c r="R9" s="71"/>
      <c r="S9" s="71"/>
      <c r="T9" s="71"/>
      <c r="U9" s="71"/>
      <c r="V9" s="71"/>
      <c r="W9" s="71"/>
      <c r="X9" s="70"/>
      <c r="Y9" s="70"/>
      <c r="Z9" s="70"/>
      <c r="AA9" s="70"/>
      <c r="AB9" s="70"/>
      <c r="AC9" s="70"/>
      <c r="AD9" s="70"/>
      <c r="AE9" s="70"/>
      <c r="AF9" s="70"/>
      <c r="AG9" s="70"/>
    </row>
    <row r="10">
      <c r="A10" s="74" t="s">
        <v>1024</v>
      </c>
      <c r="B10" s="62"/>
      <c r="C10" s="74" t="s">
        <v>1025</v>
      </c>
      <c r="D10" s="76" t="s">
        <v>691</v>
      </c>
      <c r="E10" s="75" t="s">
        <v>1026</v>
      </c>
      <c r="F10" s="81" t="s">
        <v>1159</v>
      </c>
      <c r="G10" s="70"/>
      <c r="H10" s="70"/>
      <c r="I10" s="70"/>
      <c r="J10" s="70"/>
      <c r="K10" s="70"/>
      <c r="L10" s="70"/>
      <c r="M10" s="70"/>
      <c r="N10" s="70"/>
      <c r="O10" s="71"/>
      <c r="P10" s="71"/>
      <c r="Q10" s="71"/>
      <c r="R10" s="71"/>
      <c r="S10" s="71"/>
      <c r="T10" s="71"/>
      <c r="U10" s="71"/>
      <c r="V10" s="71"/>
      <c r="W10" s="71"/>
      <c r="X10" s="70"/>
      <c r="Y10" s="70"/>
      <c r="Z10" s="70"/>
      <c r="AA10" s="70"/>
      <c r="AB10" s="70"/>
      <c r="AC10" s="70"/>
      <c r="AD10" s="70"/>
      <c r="AE10" s="70"/>
      <c r="AF10" s="70"/>
      <c r="AG10" s="70"/>
    </row>
    <row r="11">
      <c r="A11" s="64" t="s">
        <v>1082</v>
      </c>
      <c r="B11" s="62"/>
      <c r="C11" s="82" t="s">
        <v>1083</v>
      </c>
      <c r="D11" s="80" t="s">
        <v>1084</v>
      </c>
      <c r="E11" s="80" t="s">
        <v>1085</v>
      </c>
      <c r="F11" s="80" t="s">
        <v>1082</v>
      </c>
      <c r="G11" s="70"/>
      <c r="H11" s="70"/>
      <c r="I11" s="70"/>
      <c r="J11" s="70"/>
      <c r="K11" s="70"/>
      <c r="L11" s="70"/>
      <c r="M11" s="70"/>
      <c r="N11" s="70"/>
      <c r="O11" s="71"/>
      <c r="P11" s="71"/>
      <c r="Q11" s="71"/>
      <c r="R11" s="71"/>
      <c r="S11" s="71"/>
      <c r="T11" s="71"/>
      <c r="U11" s="71"/>
      <c r="V11" s="71"/>
      <c r="W11" s="71"/>
      <c r="X11" s="70"/>
      <c r="Y11" s="70"/>
      <c r="Z11" s="70"/>
      <c r="AA11" s="70"/>
      <c r="AB11" s="70"/>
      <c r="AC11" s="70"/>
      <c r="AD11" s="70"/>
      <c r="AE11" s="70"/>
      <c r="AF11" s="70"/>
      <c r="AG11" s="70"/>
    </row>
    <row r="12">
      <c r="A12" s="83" t="s">
        <v>1032</v>
      </c>
      <c r="B12" s="83" t="s">
        <v>1033</v>
      </c>
      <c r="C12" s="83" t="s">
        <v>1034</v>
      </c>
      <c r="D12" s="83" t="s">
        <v>1035</v>
      </c>
      <c r="E12" s="67" t="s">
        <v>1036</v>
      </c>
      <c r="F12" s="62"/>
      <c r="G12" s="70"/>
      <c r="H12" s="70"/>
      <c r="I12" s="70"/>
      <c r="J12" s="70"/>
      <c r="K12" s="70"/>
      <c r="L12" s="70"/>
      <c r="M12" s="70"/>
      <c r="N12" s="70"/>
      <c r="O12" s="71"/>
      <c r="P12" s="71"/>
      <c r="Q12" s="71"/>
      <c r="R12" s="71"/>
      <c r="S12" s="71"/>
      <c r="T12" s="71"/>
      <c r="U12" s="71"/>
      <c r="V12" s="71"/>
      <c r="W12" s="71"/>
      <c r="X12" s="70"/>
      <c r="Y12" s="70"/>
      <c r="Z12" s="70"/>
      <c r="AA12" s="70"/>
      <c r="AB12" s="70"/>
      <c r="AC12" s="70"/>
      <c r="AD12" s="70"/>
      <c r="AE12" s="70"/>
      <c r="AF12" s="70"/>
      <c r="AG12" s="70"/>
    </row>
    <row r="13">
      <c r="A13" s="84" t="str">
        <f>'Chapter Status'!C51</f>
        <v>Learn</v>
      </c>
      <c r="B13" s="88" t="str">
        <f>'Chapter Status'!D51</f>
        <v>Numbers 30 to 60</v>
      </c>
      <c r="C13" s="88" t="s">
        <v>1160</v>
      </c>
      <c r="D13" s="88" t="s">
        <v>1062</v>
      </c>
      <c r="E13" s="89" t="s">
        <v>1161</v>
      </c>
      <c r="F13" s="62"/>
      <c r="G13" s="70"/>
      <c r="H13" s="70"/>
      <c r="I13" s="70"/>
      <c r="J13" s="70"/>
      <c r="K13" s="70"/>
      <c r="L13" s="70"/>
      <c r="M13" s="70"/>
      <c r="N13" s="70"/>
      <c r="O13" s="71"/>
      <c r="P13" s="71"/>
      <c r="Q13" s="71"/>
      <c r="R13" s="71"/>
      <c r="S13" s="71"/>
      <c r="T13" s="71"/>
      <c r="U13" s="71"/>
      <c r="V13" s="71"/>
      <c r="W13" s="71"/>
      <c r="X13" s="70"/>
      <c r="Y13" s="70"/>
      <c r="Z13" s="70"/>
      <c r="AA13" s="70"/>
      <c r="AB13" s="70"/>
      <c r="AC13" s="70"/>
      <c r="AD13" s="70"/>
      <c r="AE13" s="70"/>
      <c r="AF13" s="70"/>
      <c r="AG13" s="70"/>
    </row>
    <row r="14">
      <c r="A14" s="84" t="str">
        <f>'Chapter Status'!C53</f>
        <v>Practice</v>
      </c>
      <c r="B14" s="88" t="str">
        <f>'Chapter Status'!D53</f>
        <v>Using The First 100 Numbers</v>
      </c>
      <c r="C14" s="87" t="s">
        <v>1162</v>
      </c>
      <c r="D14" s="88"/>
      <c r="E14" s="99" t="s">
        <v>1110</v>
      </c>
      <c r="F14" s="62"/>
      <c r="G14" s="70"/>
      <c r="H14" s="70"/>
      <c r="I14" s="70"/>
      <c r="J14" s="70"/>
      <c r="K14" s="70"/>
      <c r="L14" s="70"/>
      <c r="M14" s="70"/>
      <c r="N14" s="70"/>
      <c r="O14" s="71"/>
      <c r="P14" s="71"/>
      <c r="Q14" s="71"/>
      <c r="R14" s="71"/>
      <c r="S14" s="71"/>
      <c r="T14" s="71"/>
      <c r="U14" s="71"/>
      <c r="V14" s="71"/>
      <c r="W14" s="71"/>
      <c r="X14" s="70"/>
      <c r="Y14" s="70"/>
      <c r="Z14" s="70"/>
      <c r="AA14" s="70"/>
      <c r="AB14" s="70"/>
      <c r="AC14" s="70"/>
      <c r="AD14" s="70"/>
      <c r="AE14" s="70"/>
      <c r="AF14" s="70"/>
      <c r="AG14" s="70"/>
    </row>
    <row r="15">
      <c r="A15" s="84" t="str">
        <f>'Chapter Status'!C54</f>
        <v>Review</v>
      </c>
      <c r="B15" s="88" t="str">
        <f>'Chapter Status'!D54</f>
        <v>First 100 Numbers Review</v>
      </c>
      <c r="C15" s="88" t="s">
        <v>1043</v>
      </c>
      <c r="D15" s="88"/>
      <c r="E15" s="99"/>
      <c r="F15" s="62"/>
      <c r="G15" s="70"/>
      <c r="H15" s="70"/>
      <c r="I15" s="70"/>
      <c r="J15" s="70"/>
      <c r="K15" s="70"/>
      <c r="L15" s="70"/>
      <c r="M15" s="70"/>
      <c r="N15" s="70"/>
      <c r="O15" s="71"/>
      <c r="P15" s="71"/>
      <c r="Q15" s="71"/>
      <c r="R15" s="71"/>
      <c r="S15" s="71"/>
      <c r="T15" s="71"/>
      <c r="U15" s="71"/>
      <c r="V15" s="71"/>
      <c r="W15" s="71"/>
      <c r="X15" s="70"/>
      <c r="Y15" s="70"/>
      <c r="Z15" s="70"/>
      <c r="AA15" s="70"/>
      <c r="AB15" s="70"/>
      <c r="AC15" s="70"/>
      <c r="AD15" s="70"/>
      <c r="AE15" s="70"/>
      <c r="AF15" s="70"/>
      <c r="AG15" s="70"/>
    </row>
    <row r="16">
      <c r="A16" s="84" t="str">
        <f>'Chapter Status'!C55</f>
        <v>Quiz</v>
      </c>
      <c r="B16" s="88" t="str">
        <f>'Chapter Status'!D55</f>
        <v>Numbers 30 to 100 Quiz</v>
      </c>
      <c r="C16" s="88" t="s">
        <v>1045</v>
      </c>
      <c r="D16" s="88"/>
      <c r="E16" s="90" t="s">
        <v>1046</v>
      </c>
      <c r="F16" s="62"/>
      <c r="G16" s="70"/>
      <c r="H16" s="70"/>
      <c r="I16" s="70"/>
      <c r="J16" s="70"/>
      <c r="K16" s="70"/>
      <c r="L16" s="70"/>
      <c r="M16" s="70"/>
      <c r="N16" s="70"/>
      <c r="O16" s="71"/>
      <c r="P16" s="71"/>
      <c r="Q16" s="71"/>
      <c r="R16" s="71"/>
      <c r="S16" s="71"/>
      <c r="T16" s="71"/>
      <c r="U16" s="71"/>
      <c r="V16" s="71"/>
      <c r="W16" s="71"/>
      <c r="X16" s="70"/>
      <c r="Y16" s="70"/>
      <c r="Z16" s="70"/>
      <c r="AA16" s="70"/>
      <c r="AB16" s="70"/>
      <c r="AC16" s="70"/>
      <c r="AD16" s="70"/>
      <c r="AE16" s="70"/>
      <c r="AF16" s="70"/>
      <c r="AG16" s="70"/>
    </row>
    <row r="17">
      <c r="A17" s="91"/>
      <c r="B17" s="91"/>
      <c r="C17" s="91"/>
      <c r="D17" s="91"/>
      <c r="E17" s="91"/>
      <c r="F17" s="59"/>
      <c r="G17" s="59"/>
      <c r="H17" s="59"/>
      <c r="I17" s="59"/>
      <c r="J17" s="59"/>
      <c r="K17" s="59"/>
      <c r="L17" s="59"/>
      <c r="M17" s="59"/>
      <c r="N17" s="59"/>
      <c r="O17" s="91"/>
      <c r="P17" s="91"/>
      <c r="Q17" s="91"/>
      <c r="R17" s="91"/>
      <c r="S17" s="91"/>
      <c r="T17" s="91"/>
      <c r="U17" s="91"/>
      <c r="V17" s="91"/>
      <c r="W17" s="91"/>
      <c r="X17" s="59"/>
      <c r="Y17" s="59"/>
      <c r="Z17" s="59"/>
      <c r="AA17" s="59"/>
      <c r="AB17" s="59"/>
      <c r="AC17" s="59"/>
      <c r="AD17" s="59"/>
      <c r="AE17" s="59"/>
      <c r="AF17" s="59"/>
      <c r="AG17" s="59"/>
    </row>
    <row r="18">
      <c r="A18" s="91"/>
      <c r="B18" s="91"/>
      <c r="C18" s="91"/>
      <c r="D18" s="91"/>
      <c r="E18" s="91"/>
      <c r="F18" s="59"/>
      <c r="G18" s="59"/>
      <c r="H18" s="59"/>
      <c r="I18" s="59"/>
      <c r="J18" s="59"/>
      <c r="K18" s="59"/>
      <c r="L18" s="59"/>
      <c r="M18" s="59"/>
      <c r="N18" s="59"/>
      <c r="O18" s="91"/>
      <c r="P18" s="91"/>
      <c r="Q18" s="91"/>
      <c r="R18" s="91"/>
      <c r="S18" s="91"/>
      <c r="T18" s="91"/>
      <c r="U18" s="91"/>
      <c r="V18" s="91"/>
      <c r="W18" s="91"/>
      <c r="X18" s="59"/>
      <c r="Y18" s="59"/>
      <c r="Z18" s="59"/>
      <c r="AA18" s="59"/>
      <c r="AB18" s="59"/>
      <c r="AC18" s="59"/>
      <c r="AD18" s="59"/>
      <c r="AE18" s="59"/>
      <c r="AF18" s="59"/>
      <c r="AG18" s="59"/>
    </row>
    <row r="19">
      <c r="A19" s="91"/>
      <c r="B19" s="91"/>
      <c r="C19" s="91"/>
      <c r="D19" s="91"/>
      <c r="E19" s="91"/>
      <c r="F19" s="59"/>
      <c r="G19" s="59"/>
      <c r="H19" s="59"/>
      <c r="I19" s="59"/>
      <c r="J19" s="59"/>
      <c r="K19" s="59"/>
      <c r="L19" s="59"/>
      <c r="M19" s="59"/>
      <c r="N19" s="59"/>
      <c r="O19" s="91"/>
      <c r="P19" s="91"/>
      <c r="Q19" s="91"/>
      <c r="R19" s="91"/>
      <c r="S19" s="91"/>
      <c r="T19" s="91"/>
      <c r="U19" s="91"/>
      <c r="V19" s="91"/>
      <c r="W19" s="91"/>
      <c r="X19" s="59"/>
      <c r="Y19" s="59"/>
      <c r="Z19" s="59"/>
      <c r="AA19" s="59"/>
      <c r="AB19" s="59"/>
      <c r="AC19" s="59"/>
      <c r="AD19" s="59"/>
      <c r="AE19" s="59"/>
      <c r="AF19" s="59"/>
      <c r="AG19" s="59"/>
    </row>
    <row r="20">
      <c r="A20" s="92" t="s">
        <v>1163</v>
      </c>
      <c r="B20" s="61"/>
      <c r="C20" s="61"/>
      <c r="D20" s="61"/>
      <c r="E20" s="61"/>
      <c r="F20" s="62"/>
      <c r="G20" s="59"/>
      <c r="H20" s="59"/>
      <c r="I20" s="59"/>
      <c r="J20" s="59"/>
      <c r="K20" s="59"/>
      <c r="L20" s="59"/>
      <c r="M20" s="59"/>
      <c r="N20" s="59"/>
      <c r="O20" s="91"/>
      <c r="P20" s="91"/>
      <c r="Q20" s="91"/>
      <c r="R20" s="91"/>
      <c r="S20" s="91"/>
      <c r="T20" s="91"/>
      <c r="U20" s="91"/>
      <c r="V20" s="91"/>
      <c r="W20" s="91"/>
      <c r="X20" s="59"/>
      <c r="Y20" s="59"/>
      <c r="Z20" s="59"/>
      <c r="AA20" s="59"/>
      <c r="AB20" s="59"/>
      <c r="AC20" s="59"/>
      <c r="AD20" s="59"/>
      <c r="AE20" s="59"/>
      <c r="AF20" s="59"/>
      <c r="AG20" s="59"/>
    </row>
    <row r="21">
      <c r="A21" s="93" t="s">
        <v>1164</v>
      </c>
      <c r="B21" s="61"/>
      <c r="C21" s="61"/>
      <c r="D21" s="61"/>
      <c r="E21" s="61"/>
      <c r="F21" s="62"/>
      <c r="G21" s="59"/>
      <c r="H21" s="59"/>
      <c r="I21" s="59"/>
      <c r="J21" s="59"/>
      <c r="K21" s="59"/>
      <c r="L21" s="59"/>
      <c r="M21" s="59"/>
      <c r="N21" s="59"/>
      <c r="O21" s="91"/>
      <c r="P21" s="91"/>
      <c r="Q21" s="91"/>
      <c r="R21" s="91"/>
      <c r="S21" s="91"/>
      <c r="T21" s="91"/>
      <c r="U21" s="91"/>
      <c r="V21" s="91"/>
      <c r="W21" s="91"/>
      <c r="X21" s="59"/>
      <c r="Y21" s="59"/>
      <c r="Z21" s="59"/>
      <c r="AA21" s="59"/>
      <c r="AB21" s="59"/>
      <c r="AC21" s="59"/>
      <c r="AD21" s="59"/>
      <c r="AE21" s="59"/>
      <c r="AF21" s="59"/>
      <c r="AG21" s="59"/>
    </row>
    <row r="22">
      <c r="A22" s="73" t="s">
        <v>1165</v>
      </c>
      <c r="B22" s="61"/>
      <c r="C22" s="61"/>
      <c r="D22" s="61"/>
      <c r="E22" s="61"/>
      <c r="F22" s="62"/>
      <c r="G22" s="59"/>
      <c r="H22" s="59"/>
      <c r="I22" s="59"/>
      <c r="J22" s="59"/>
      <c r="K22" s="59"/>
      <c r="L22" s="59"/>
      <c r="M22" s="59"/>
      <c r="N22" s="59"/>
      <c r="O22" s="91"/>
      <c r="P22" s="91"/>
      <c r="Q22" s="91"/>
      <c r="R22" s="91"/>
      <c r="S22" s="91"/>
      <c r="T22" s="91"/>
      <c r="U22" s="91"/>
      <c r="V22" s="91"/>
      <c r="W22" s="91"/>
      <c r="X22" s="59"/>
      <c r="Y22" s="59"/>
      <c r="Z22" s="59"/>
      <c r="AA22" s="59"/>
      <c r="AB22" s="59"/>
      <c r="AC22" s="59"/>
      <c r="AD22" s="59"/>
      <c r="AE22" s="59"/>
      <c r="AF22" s="59"/>
      <c r="AG22" s="59"/>
    </row>
    <row r="23">
      <c r="A23" s="74" t="s">
        <v>1014</v>
      </c>
      <c r="B23" s="62"/>
      <c r="C23" s="74" t="s">
        <v>1015</v>
      </c>
      <c r="D23" s="75" t="s">
        <v>1016</v>
      </c>
      <c r="E23" s="76" t="s">
        <v>1017</v>
      </c>
      <c r="F23" s="77" t="s">
        <v>1018</v>
      </c>
      <c r="G23" s="59"/>
      <c r="H23" s="59"/>
      <c r="I23" s="59"/>
      <c r="J23" s="59"/>
      <c r="K23" s="59"/>
      <c r="L23" s="59"/>
      <c r="M23" s="59"/>
      <c r="N23" s="59"/>
      <c r="O23" s="91"/>
      <c r="P23" s="91"/>
      <c r="Q23" s="91"/>
      <c r="R23" s="91"/>
      <c r="S23" s="91"/>
      <c r="T23" s="91"/>
      <c r="U23" s="91"/>
      <c r="V23" s="91"/>
      <c r="W23" s="91"/>
      <c r="X23" s="59"/>
      <c r="Y23" s="59"/>
      <c r="Z23" s="59"/>
      <c r="AA23" s="59"/>
      <c r="AB23" s="59"/>
      <c r="AC23" s="59"/>
      <c r="AD23" s="59"/>
      <c r="AE23" s="59"/>
      <c r="AF23" s="59"/>
      <c r="AG23" s="59"/>
    </row>
    <row r="24">
      <c r="A24" s="72" t="s">
        <v>1166</v>
      </c>
      <c r="B24" s="62"/>
      <c r="C24" s="78" t="s">
        <v>1167</v>
      </c>
      <c r="D24" s="94" t="s">
        <v>1168</v>
      </c>
      <c r="E24" s="80" t="s">
        <v>1169</v>
      </c>
      <c r="F24" s="80" t="s">
        <v>1170</v>
      </c>
      <c r="G24" s="59"/>
      <c r="H24" s="59"/>
      <c r="I24" s="59"/>
      <c r="J24" s="59"/>
      <c r="K24" s="59"/>
      <c r="L24" s="59"/>
      <c r="M24" s="59"/>
      <c r="N24" s="59"/>
      <c r="O24" s="91"/>
      <c r="P24" s="91"/>
      <c r="Q24" s="91"/>
      <c r="R24" s="91"/>
      <c r="S24" s="91"/>
      <c r="T24" s="91"/>
      <c r="U24" s="91"/>
      <c r="V24" s="91"/>
      <c r="W24" s="91"/>
      <c r="X24" s="59"/>
      <c r="Y24" s="59"/>
      <c r="Z24" s="59"/>
      <c r="AA24" s="59"/>
      <c r="AB24" s="59"/>
      <c r="AC24" s="59"/>
      <c r="AD24" s="59"/>
      <c r="AE24" s="59"/>
      <c r="AF24" s="59"/>
      <c r="AG24" s="59"/>
    </row>
    <row r="25">
      <c r="A25" s="74" t="s">
        <v>1024</v>
      </c>
      <c r="B25" s="62"/>
      <c r="C25" s="74" t="s">
        <v>1025</v>
      </c>
      <c r="D25" s="76" t="s">
        <v>691</v>
      </c>
      <c r="E25" s="75" t="s">
        <v>1026</v>
      </c>
      <c r="F25" s="81" t="s">
        <v>1171</v>
      </c>
      <c r="G25" s="59"/>
      <c r="H25" s="59"/>
      <c r="I25" s="59"/>
      <c r="J25" s="59"/>
      <c r="K25" s="59"/>
      <c r="L25" s="59"/>
      <c r="M25" s="59"/>
      <c r="N25" s="59"/>
      <c r="O25" s="91"/>
      <c r="P25" s="91"/>
      <c r="Q25" s="91"/>
      <c r="R25" s="91"/>
      <c r="S25" s="91"/>
      <c r="T25" s="91"/>
      <c r="U25" s="91"/>
      <c r="V25" s="91"/>
      <c r="W25" s="91"/>
      <c r="X25" s="59"/>
      <c r="Y25" s="59"/>
      <c r="Z25" s="59"/>
      <c r="AA25" s="59"/>
      <c r="AB25" s="59"/>
      <c r="AC25" s="59"/>
      <c r="AD25" s="59"/>
      <c r="AE25" s="59"/>
      <c r="AF25" s="59"/>
      <c r="AG25" s="59"/>
    </row>
    <row r="26">
      <c r="A26" s="64" t="s">
        <v>1082</v>
      </c>
      <c r="B26" s="62"/>
      <c r="C26" s="82" t="s">
        <v>1172</v>
      </c>
      <c r="D26" s="80" t="s">
        <v>1173</v>
      </c>
      <c r="E26" s="80" t="s">
        <v>1174</v>
      </c>
      <c r="F26" s="80" t="s">
        <v>1082</v>
      </c>
      <c r="G26" s="59"/>
      <c r="H26" s="59"/>
      <c r="I26" s="59"/>
      <c r="J26" s="59"/>
      <c r="K26" s="59"/>
      <c r="L26" s="59"/>
      <c r="M26" s="59"/>
      <c r="N26" s="59"/>
      <c r="O26" s="91"/>
      <c r="P26" s="91"/>
      <c r="Q26" s="91"/>
      <c r="R26" s="91"/>
      <c r="S26" s="91"/>
      <c r="T26" s="91"/>
      <c r="U26" s="91"/>
      <c r="V26" s="91"/>
      <c r="W26" s="91"/>
      <c r="X26" s="59"/>
      <c r="Y26" s="59"/>
      <c r="Z26" s="59"/>
      <c r="AA26" s="59"/>
      <c r="AB26" s="59"/>
      <c r="AC26" s="59"/>
      <c r="AD26" s="59"/>
      <c r="AE26" s="59"/>
      <c r="AF26" s="59"/>
      <c r="AG26" s="59"/>
    </row>
    <row r="27">
      <c r="A27" s="95" t="s">
        <v>1032</v>
      </c>
      <c r="B27" s="95" t="s">
        <v>1033</v>
      </c>
      <c r="C27" s="95" t="s">
        <v>1034</v>
      </c>
      <c r="D27" s="95" t="s">
        <v>1035</v>
      </c>
      <c r="E27" s="67" t="s">
        <v>1036</v>
      </c>
      <c r="F27" s="62"/>
      <c r="G27" s="59"/>
      <c r="H27" s="59"/>
      <c r="I27" s="59"/>
      <c r="J27" s="59"/>
      <c r="K27" s="59"/>
      <c r="L27" s="59"/>
      <c r="M27" s="59"/>
      <c r="N27" s="59"/>
      <c r="O27" s="91"/>
      <c r="P27" s="91"/>
      <c r="Q27" s="91"/>
      <c r="R27" s="91"/>
      <c r="S27" s="91"/>
      <c r="T27" s="91"/>
      <c r="U27" s="91"/>
      <c r="V27" s="91"/>
      <c r="W27" s="91"/>
      <c r="X27" s="59"/>
      <c r="Y27" s="59"/>
      <c r="Z27" s="59"/>
      <c r="AA27" s="59"/>
      <c r="AB27" s="59"/>
      <c r="AC27" s="59"/>
      <c r="AD27" s="59"/>
      <c r="AE27" s="59"/>
      <c r="AF27" s="59"/>
      <c r="AG27" s="59"/>
    </row>
    <row r="28">
      <c r="A28" s="96" t="str">
        <f>'Chapter Status'!C22</f>
        <v>Warm-up</v>
      </c>
      <c r="B28" s="88" t="str">
        <f>'Chapter Status'!D57</f>
        <v>Describing a Company Basics</v>
      </c>
      <c r="C28" s="114" t="s">
        <v>1175</v>
      </c>
      <c r="D28" s="115" t="s">
        <v>1176</v>
      </c>
      <c r="E28" s="89" t="s">
        <v>1177</v>
      </c>
      <c r="F28" s="62"/>
      <c r="G28" s="59"/>
      <c r="H28" s="59"/>
      <c r="I28" s="59"/>
      <c r="J28" s="59"/>
      <c r="K28" s="59"/>
      <c r="L28" s="59"/>
      <c r="M28" s="59"/>
      <c r="N28" s="59"/>
      <c r="O28" s="91"/>
      <c r="P28" s="91"/>
      <c r="Q28" s="91"/>
      <c r="R28" s="91"/>
      <c r="S28" s="91"/>
      <c r="T28" s="91"/>
      <c r="U28" s="91"/>
      <c r="V28" s="91"/>
      <c r="W28" s="91"/>
      <c r="X28" s="59"/>
      <c r="Y28" s="59"/>
      <c r="Z28" s="59"/>
      <c r="AA28" s="59"/>
      <c r="AB28" s="59"/>
      <c r="AC28" s="59"/>
      <c r="AD28" s="59"/>
      <c r="AE28" s="59"/>
      <c r="AF28" s="59"/>
      <c r="AG28" s="59"/>
    </row>
    <row r="29">
      <c r="A29" s="96" t="str">
        <f>'Chapter Status'!C23</f>
        <v>Learn</v>
      </c>
      <c r="B29" s="88" t="str">
        <f>'Chapter Status'!D58</f>
        <v>What the Company Does</v>
      </c>
      <c r="C29" s="116" t="s">
        <v>1178</v>
      </c>
      <c r="D29" s="88" t="s">
        <v>1179</v>
      </c>
      <c r="E29" s="89" t="s">
        <v>1180</v>
      </c>
      <c r="F29" s="62"/>
      <c r="G29" s="59"/>
      <c r="H29" s="59"/>
      <c r="I29" s="59"/>
      <c r="J29" s="59"/>
      <c r="K29" s="59"/>
      <c r="L29" s="59"/>
      <c r="M29" s="59"/>
      <c r="N29" s="59"/>
      <c r="O29" s="91"/>
      <c r="P29" s="91"/>
      <c r="Q29" s="91"/>
      <c r="R29" s="91"/>
      <c r="S29" s="91"/>
      <c r="T29" s="91"/>
      <c r="U29" s="91"/>
      <c r="V29" s="91"/>
      <c r="W29" s="91"/>
      <c r="X29" s="59"/>
      <c r="Y29" s="59"/>
      <c r="Z29" s="59"/>
      <c r="AA29" s="59"/>
      <c r="AB29" s="59"/>
      <c r="AC29" s="59"/>
      <c r="AD29" s="59"/>
      <c r="AE29" s="59"/>
      <c r="AF29" s="59"/>
      <c r="AG29" s="59"/>
    </row>
    <row r="30">
      <c r="A30" s="98" t="s">
        <v>863</v>
      </c>
      <c r="B30" s="88" t="str">
        <f>'Chapter Status'!D59</f>
        <v>What Departments Do</v>
      </c>
      <c r="C30" s="117"/>
      <c r="D30" s="97"/>
      <c r="E30" s="80"/>
      <c r="F30" s="80"/>
      <c r="G30" s="59"/>
      <c r="H30" s="59"/>
      <c r="I30" s="59"/>
      <c r="J30" s="59"/>
      <c r="K30" s="59"/>
      <c r="L30" s="59"/>
      <c r="M30" s="59"/>
      <c r="N30" s="59"/>
      <c r="O30" s="91"/>
      <c r="P30" s="91"/>
      <c r="Q30" s="91"/>
      <c r="R30" s="91"/>
      <c r="S30" s="91"/>
      <c r="T30" s="91"/>
      <c r="U30" s="91"/>
      <c r="V30" s="91"/>
      <c r="W30" s="91"/>
      <c r="X30" s="59"/>
      <c r="Y30" s="59"/>
      <c r="Z30" s="59"/>
      <c r="AA30" s="59"/>
      <c r="AB30" s="59"/>
      <c r="AC30" s="59"/>
      <c r="AD30" s="59"/>
      <c r="AE30" s="59"/>
      <c r="AF30" s="59"/>
      <c r="AG30" s="59"/>
    </row>
    <row r="31">
      <c r="A31" s="96" t="str">
        <f>'Chapter Status'!C25</f>
        <v>Learn</v>
      </c>
      <c r="B31" s="88" t="str">
        <f>'Chapter Status'!D60</f>
        <v>Asking about a company</v>
      </c>
      <c r="C31" s="118" t="s">
        <v>1181</v>
      </c>
      <c r="D31" s="97" t="s">
        <v>1182</v>
      </c>
      <c r="E31" s="78" t="s">
        <v>1183</v>
      </c>
      <c r="F31" s="62"/>
      <c r="G31" s="59"/>
      <c r="H31" s="59"/>
      <c r="I31" s="59"/>
      <c r="J31" s="59"/>
      <c r="K31" s="59"/>
      <c r="L31" s="59"/>
      <c r="M31" s="59"/>
      <c r="N31" s="59"/>
      <c r="O31" s="91"/>
      <c r="P31" s="91"/>
      <c r="Q31" s="91"/>
      <c r="R31" s="91"/>
      <c r="S31" s="91"/>
      <c r="T31" s="91"/>
      <c r="U31" s="91"/>
      <c r="V31" s="91"/>
      <c r="W31" s="91"/>
      <c r="X31" s="59"/>
      <c r="Y31" s="59"/>
      <c r="Z31" s="59"/>
      <c r="AA31" s="59"/>
      <c r="AB31" s="59"/>
      <c r="AC31" s="59"/>
      <c r="AD31" s="59"/>
      <c r="AE31" s="59"/>
      <c r="AF31" s="59"/>
      <c r="AG31" s="59"/>
    </row>
    <row r="32">
      <c r="A32" s="96" t="str">
        <f>'Chapter Status'!C26</f>
        <v>Practice</v>
      </c>
      <c r="B32" s="88" t="str">
        <f>'Chapter Status'!D61</f>
        <v>Company profile</v>
      </c>
      <c r="C32" s="119" t="s">
        <v>1184</v>
      </c>
      <c r="D32" s="88"/>
      <c r="E32" s="78" t="s">
        <v>1185</v>
      </c>
      <c r="F32" s="62"/>
      <c r="G32" s="59"/>
      <c r="H32" s="59"/>
      <c r="I32" s="59"/>
      <c r="J32" s="59"/>
      <c r="K32" s="59"/>
      <c r="L32" s="59"/>
      <c r="M32" s="59"/>
      <c r="N32" s="59"/>
      <c r="O32" s="91"/>
      <c r="P32" s="91"/>
      <c r="Q32" s="91"/>
      <c r="R32" s="91"/>
      <c r="S32" s="91"/>
      <c r="T32" s="91"/>
      <c r="U32" s="91"/>
      <c r="V32" s="91"/>
      <c r="W32" s="91"/>
      <c r="X32" s="59"/>
      <c r="Y32" s="59"/>
      <c r="Z32" s="59"/>
      <c r="AA32" s="59"/>
      <c r="AB32" s="59"/>
      <c r="AC32" s="59"/>
      <c r="AD32" s="59"/>
      <c r="AE32" s="59"/>
      <c r="AF32" s="59"/>
      <c r="AG32" s="59"/>
    </row>
    <row r="33">
      <c r="A33" s="96" t="str">
        <f>'Chapter Status'!C27</f>
        <v>Review</v>
      </c>
      <c r="B33" s="88" t="str">
        <f>'Chapter Status'!D62</f>
        <v>Talking About a Company</v>
      </c>
      <c r="C33" s="88" t="s">
        <v>1043</v>
      </c>
      <c r="D33" s="88"/>
      <c r="E33" s="99"/>
      <c r="F33" s="62"/>
      <c r="G33" s="59"/>
      <c r="H33" s="59"/>
      <c r="I33" s="59"/>
      <c r="J33" s="59"/>
      <c r="K33" s="59"/>
      <c r="L33" s="59"/>
      <c r="M33" s="59"/>
      <c r="N33" s="59"/>
      <c r="O33" s="91"/>
      <c r="P33" s="91"/>
      <c r="Q33" s="91"/>
      <c r="R33" s="91"/>
      <c r="S33" s="91"/>
      <c r="T33" s="91"/>
      <c r="U33" s="91"/>
      <c r="V33" s="91"/>
      <c r="W33" s="91"/>
      <c r="X33" s="59"/>
      <c r="Y33" s="59"/>
      <c r="Z33" s="59"/>
      <c r="AA33" s="59"/>
      <c r="AB33" s="59"/>
      <c r="AC33" s="59"/>
      <c r="AD33" s="59"/>
      <c r="AE33" s="59"/>
      <c r="AF33" s="59"/>
      <c r="AG33" s="59"/>
    </row>
    <row r="34">
      <c r="A34" s="96" t="str">
        <f>'Chapter Status'!C28</f>
        <v>Quiz</v>
      </c>
      <c r="B34" s="88" t="str">
        <f>'Chapter Status'!D63</f>
        <v>Describing a Company Quiz</v>
      </c>
      <c r="C34" s="88" t="s">
        <v>1045</v>
      </c>
      <c r="D34" s="88"/>
      <c r="E34" s="90" t="s">
        <v>1046</v>
      </c>
      <c r="F34" s="62"/>
      <c r="G34" s="59"/>
      <c r="H34" s="59"/>
      <c r="I34" s="59"/>
      <c r="J34" s="59"/>
      <c r="K34" s="59"/>
      <c r="L34" s="59"/>
      <c r="M34" s="59"/>
      <c r="N34" s="59"/>
      <c r="O34" s="91"/>
      <c r="P34" s="91"/>
      <c r="Q34" s="91"/>
      <c r="R34" s="91"/>
      <c r="S34" s="91"/>
      <c r="T34" s="91"/>
      <c r="U34" s="91"/>
      <c r="V34" s="91"/>
      <c r="W34" s="91"/>
      <c r="X34" s="59"/>
      <c r="Y34" s="59"/>
      <c r="Z34" s="59"/>
      <c r="AA34" s="59"/>
      <c r="AB34" s="59"/>
      <c r="AC34" s="59"/>
      <c r="AD34" s="59"/>
      <c r="AE34" s="59"/>
      <c r="AF34" s="59"/>
      <c r="AG34" s="59"/>
    </row>
    <row r="35">
      <c r="A35" s="91"/>
      <c r="B35" s="91"/>
      <c r="C35" s="91"/>
      <c r="D35" s="91"/>
      <c r="E35" s="91"/>
      <c r="F35" s="59"/>
      <c r="G35" s="59"/>
      <c r="H35" s="59"/>
      <c r="I35" s="59"/>
      <c r="J35" s="59"/>
      <c r="K35" s="59"/>
      <c r="L35" s="59"/>
      <c r="M35" s="59"/>
      <c r="N35" s="59"/>
      <c r="O35" s="91"/>
      <c r="P35" s="91"/>
      <c r="Q35" s="91"/>
      <c r="R35" s="91"/>
      <c r="S35" s="91"/>
      <c r="T35" s="91"/>
      <c r="U35" s="91"/>
      <c r="V35" s="91"/>
      <c r="W35" s="91"/>
      <c r="X35" s="59"/>
      <c r="Y35" s="59"/>
      <c r="Z35" s="59"/>
      <c r="AA35" s="59"/>
      <c r="AB35" s="59"/>
      <c r="AC35" s="59"/>
      <c r="AD35" s="59"/>
      <c r="AE35" s="59"/>
      <c r="AF35" s="59"/>
      <c r="AG35" s="59"/>
    </row>
    <row r="36">
      <c r="A36" s="91"/>
      <c r="F36" s="59"/>
      <c r="G36" s="59"/>
      <c r="H36" s="59"/>
      <c r="I36" s="59"/>
      <c r="J36" s="59"/>
      <c r="K36" s="59"/>
      <c r="L36" s="59"/>
      <c r="M36" s="59"/>
      <c r="N36" s="59"/>
      <c r="O36" s="91"/>
      <c r="X36" s="59"/>
      <c r="Y36" s="59"/>
      <c r="Z36" s="59"/>
      <c r="AA36" s="59"/>
      <c r="AB36" s="59"/>
      <c r="AC36" s="59"/>
      <c r="AD36" s="59"/>
      <c r="AE36" s="59"/>
      <c r="AF36" s="59"/>
      <c r="AG36" s="59"/>
    </row>
    <row r="37">
      <c r="A37" s="92" t="s">
        <v>1186</v>
      </c>
      <c r="B37" s="61"/>
      <c r="C37" s="61"/>
      <c r="D37" s="61"/>
      <c r="E37" s="61"/>
      <c r="F37" s="62"/>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93" t="s">
        <v>1187</v>
      </c>
      <c r="B38" s="61"/>
      <c r="C38" s="61"/>
      <c r="D38" s="61"/>
      <c r="E38" s="61"/>
      <c r="F38" s="62"/>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73" t="s">
        <v>1136</v>
      </c>
      <c r="B39" s="61"/>
      <c r="C39" s="61"/>
      <c r="D39" s="61"/>
      <c r="E39" s="61"/>
      <c r="F39" s="62"/>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74" t="s">
        <v>1014</v>
      </c>
      <c r="B40" s="62"/>
      <c r="C40" s="74" t="s">
        <v>1015</v>
      </c>
      <c r="D40" s="75" t="s">
        <v>1016</v>
      </c>
      <c r="E40" s="76" t="s">
        <v>1017</v>
      </c>
      <c r="F40" s="77" t="s">
        <v>1018</v>
      </c>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72" t="s">
        <v>1188</v>
      </c>
      <c r="B41" s="62"/>
      <c r="C41" s="78" t="s">
        <v>1189</v>
      </c>
      <c r="D41" s="94" t="s">
        <v>1190</v>
      </c>
      <c r="E41" s="80" t="s">
        <v>1191</v>
      </c>
      <c r="F41" s="80">
        <v>4.0</v>
      </c>
      <c r="G41" s="120"/>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74" t="s">
        <v>1024</v>
      </c>
      <c r="B42" s="62"/>
      <c r="C42" s="74" t="s">
        <v>1025</v>
      </c>
      <c r="D42" s="76" t="s">
        <v>691</v>
      </c>
      <c r="E42" s="75" t="s">
        <v>1026</v>
      </c>
      <c r="F42" s="81" t="s">
        <v>1192</v>
      </c>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64" t="s">
        <v>1193</v>
      </c>
      <c r="B43" s="62"/>
      <c r="C43" s="82" t="s">
        <v>1194</v>
      </c>
      <c r="D43" s="80" t="s">
        <v>1195</v>
      </c>
      <c r="E43" s="80" t="s">
        <v>1196</v>
      </c>
      <c r="F43" s="80" t="s">
        <v>1197</v>
      </c>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95" t="s">
        <v>1032</v>
      </c>
      <c r="B44" s="95" t="s">
        <v>1033</v>
      </c>
      <c r="C44" s="95" t="s">
        <v>1034</v>
      </c>
      <c r="D44" s="95" t="s">
        <v>1035</v>
      </c>
      <c r="E44" s="67" t="s">
        <v>1036</v>
      </c>
      <c r="F44" s="62"/>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96" t="str">
        <f>'Chapter Status'!C65</f>
        <v>Warm-up</v>
      </c>
      <c r="B45" s="88" t="str">
        <f>'Chapter Status'!D65</f>
        <v>Describing People at Work Basics</v>
      </c>
      <c r="C45" s="88" t="s">
        <v>1198</v>
      </c>
      <c r="D45" s="88" t="s">
        <v>1062</v>
      </c>
      <c r="E45" s="89" t="s">
        <v>1086</v>
      </c>
      <c r="F45" s="62"/>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96" t="str">
        <f>'Chapter Status'!C66</f>
        <v>Learn</v>
      </c>
      <c r="B46" s="88" t="str">
        <f>'Chapter Status'!D66</f>
        <v>Mini Biographies </v>
      </c>
      <c r="C46" s="87" t="s">
        <v>1199</v>
      </c>
      <c r="D46" s="88"/>
      <c r="E46" s="89" t="s">
        <v>1200</v>
      </c>
      <c r="F46" s="62"/>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98" t="s">
        <v>863</v>
      </c>
      <c r="B47" s="88" t="str">
        <f>'Chapter Status'!D68</f>
        <v>Asking About Mini Biographies</v>
      </c>
      <c r="C47" s="87" t="s">
        <v>1201</v>
      </c>
      <c r="D47" s="88"/>
      <c r="E47" s="100"/>
      <c r="F47" s="100"/>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98" t="s">
        <v>850</v>
      </c>
      <c r="B48" s="88" t="str">
        <f>'Chapter Status'!D69</f>
        <v>Short Workplace Profile </v>
      </c>
      <c r="C48" s="87" t="s">
        <v>1202</v>
      </c>
      <c r="D48" s="88"/>
      <c r="E48" s="100"/>
      <c r="F48" s="100"/>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98" t="s">
        <v>863</v>
      </c>
      <c r="B49" s="88" t="str">
        <f>'Chapter Status'!D70</f>
        <v>Asking About Short Workplace Profiles</v>
      </c>
      <c r="C49" s="87" t="s">
        <v>1203</v>
      </c>
      <c r="D49" s="88"/>
      <c r="E49" s="89" t="s">
        <v>1200</v>
      </c>
      <c r="F49" s="62"/>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98" t="s">
        <v>871</v>
      </c>
      <c r="B50" s="88" t="str">
        <f>'Chapter Status'!D71</f>
        <v>Describing People at Work Review</v>
      </c>
      <c r="C50" s="88" t="s">
        <v>1043</v>
      </c>
      <c r="D50" s="88"/>
      <c r="E50" s="99"/>
      <c r="F50" s="62"/>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96" t="str">
        <f>'Chapter Status'!C72</f>
        <v>Quiz</v>
      </c>
      <c r="B51" s="88" t="str">
        <f>'Chapter Status'!D72</f>
        <v>Describing People at Work</v>
      </c>
      <c r="C51" s="88" t="s">
        <v>1045</v>
      </c>
      <c r="D51" s="88"/>
      <c r="E51" s="90" t="s">
        <v>1046</v>
      </c>
      <c r="F51" s="62"/>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row>
  </sheetData>
  <mergeCells count="47">
    <mergeCell ref="A2:F2"/>
    <mergeCell ref="O2:W2"/>
    <mergeCell ref="A3:F3"/>
    <mergeCell ref="O3:W3"/>
    <mergeCell ref="A4:F4"/>
    <mergeCell ref="O4:W4"/>
    <mergeCell ref="A5:F5"/>
    <mergeCell ref="A6:F6"/>
    <mergeCell ref="A7:F7"/>
    <mergeCell ref="A8:B8"/>
    <mergeCell ref="A9:B9"/>
    <mergeCell ref="A10:B10"/>
    <mergeCell ref="A11:B11"/>
    <mergeCell ref="E12:F12"/>
    <mergeCell ref="E13:F13"/>
    <mergeCell ref="E14:F14"/>
    <mergeCell ref="E15:F15"/>
    <mergeCell ref="E16:F16"/>
    <mergeCell ref="A20:F20"/>
    <mergeCell ref="A21:F21"/>
    <mergeCell ref="A22:F22"/>
    <mergeCell ref="A23:B23"/>
    <mergeCell ref="A24:B24"/>
    <mergeCell ref="A25:B25"/>
    <mergeCell ref="A26:B26"/>
    <mergeCell ref="E27:F27"/>
    <mergeCell ref="E28:F28"/>
    <mergeCell ref="E29:F29"/>
    <mergeCell ref="E31:F31"/>
    <mergeCell ref="E32:F32"/>
    <mergeCell ref="E33:F33"/>
    <mergeCell ref="E34:F34"/>
    <mergeCell ref="A36:E36"/>
    <mergeCell ref="O36:W36"/>
    <mergeCell ref="A37:F37"/>
    <mergeCell ref="E45:F45"/>
    <mergeCell ref="E46:F46"/>
    <mergeCell ref="E49:F49"/>
    <mergeCell ref="E50:F50"/>
    <mergeCell ref="E51:F51"/>
    <mergeCell ref="A38:F38"/>
    <mergeCell ref="A39:F39"/>
    <mergeCell ref="A40:B40"/>
    <mergeCell ref="A41:B41"/>
    <mergeCell ref="A42:B42"/>
    <mergeCell ref="A43:B43"/>
    <mergeCell ref="E44:F44"/>
  </mergeCells>
  <dataValidations>
    <dataValidation type="list" allowBlank="1" showErrorMessage="1" sqref="A13:A16 A28:A34 A45:A51">
      <formula1>"Warm-up,Learn,Practice,Review,Quiz"</formula1>
    </dataValidation>
  </dataValidations>
  <hyperlinks>
    <hyperlink r:id="rId1" ref="A8"/>
    <hyperlink r:id="rId2" ref="C8"/>
    <hyperlink r:id="rId3" ref="E8"/>
    <hyperlink r:id="rId4" ref="F8"/>
    <hyperlink r:id="rId5" ref="A10"/>
    <hyperlink r:id="rId6" ref="C10"/>
    <hyperlink r:id="rId7" ref="D10"/>
    <hyperlink r:id="rId8" ref="F10"/>
    <hyperlink r:id="rId9" ref="A23"/>
    <hyperlink r:id="rId10" ref="C23"/>
    <hyperlink r:id="rId11" ref="E23"/>
    <hyperlink r:id="rId12" ref="F23"/>
    <hyperlink r:id="rId13" ref="A25"/>
    <hyperlink r:id="rId14" ref="C25"/>
    <hyperlink r:id="rId15" ref="D25"/>
    <hyperlink r:id="rId16" ref="F25"/>
    <hyperlink r:id="rId17" ref="C31"/>
    <hyperlink r:id="rId18" ref="C32"/>
    <hyperlink r:id="rId19" ref="A40"/>
    <hyperlink r:id="rId20" ref="C40"/>
    <hyperlink r:id="rId21" ref="E40"/>
    <hyperlink r:id="rId22" ref="F40"/>
    <hyperlink r:id="rId23" ref="A42"/>
    <hyperlink r:id="rId24" ref="C42"/>
    <hyperlink r:id="rId25" ref="D42"/>
    <hyperlink r:id="rId26" ref="F42"/>
  </hyperlinks>
  <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5"/>
    <col customWidth="1" min="2" max="2" width="32.38"/>
    <col customWidth="1" min="3" max="3" width="49.63"/>
    <col customWidth="1" min="4" max="4" width="14.25"/>
    <col customWidth="1" min="5" max="5" width="13.5"/>
  </cols>
  <sheetData>
    <row r="1">
      <c r="A1" s="121"/>
      <c r="B1" s="122"/>
      <c r="C1" s="122"/>
      <c r="D1" s="3"/>
      <c r="E1" s="123"/>
    </row>
    <row r="2" ht="22.5" customHeight="1">
      <c r="A2" s="124" t="s">
        <v>1204</v>
      </c>
      <c r="B2" s="125" t="s">
        <v>1205</v>
      </c>
      <c r="C2" s="125" t="s">
        <v>1206</v>
      </c>
      <c r="D2" s="126" t="s">
        <v>1207</v>
      </c>
      <c r="E2" s="127" t="s">
        <v>1208</v>
      </c>
    </row>
    <row r="3" ht="22.5" customHeight="1">
      <c r="A3" s="128" t="s">
        <v>853</v>
      </c>
      <c r="B3" s="129" t="s">
        <v>1209</v>
      </c>
      <c r="C3" s="129" t="s">
        <v>1210</v>
      </c>
      <c r="D3" s="130" t="s">
        <v>1211</v>
      </c>
      <c r="E3" s="130" t="s">
        <v>1211</v>
      </c>
    </row>
    <row r="4" ht="22.5" customHeight="1">
      <c r="A4" s="128" t="s">
        <v>853</v>
      </c>
      <c r="B4" s="129" t="s">
        <v>1212</v>
      </c>
      <c r="C4" s="129" t="s">
        <v>1213</v>
      </c>
      <c r="D4" s="130" t="s">
        <v>1211</v>
      </c>
      <c r="E4" s="130" t="s">
        <v>1211</v>
      </c>
    </row>
    <row r="5" ht="22.5" customHeight="1">
      <c r="A5" s="128" t="s">
        <v>853</v>
      </c>
      <c r="B5" s="129" t="s">
        <v>1214</v>
      </c>
      <c r="C5" s="129" t="s">
        <v>1215</v>
      </c>
      <c r="D5" s="131"/>
      <c r="E5" s="131"/>
    </row>
    <row r="6" ht="22.5" customHeight="1">
      <c r="A6" s="128" t="s">
        <v>853</v>
      </c>
      <c r="B6" s="129" t="s">
        <v>1216</v>
      </c>
      <c r="C6" s="129" t="s">
        <v>1217</v>
      </c>
      <c r="D6" s="131"/>
      <c r="E6" s="131"/>
    </row>
    <row r="7" ht="22.5" customHeight="1">
      <c r="A7" s="128" t="s">
        <v>853</v>
      </c>
      <c r="B7" s="129" t="s">
        <v>1218</v>
      </c>
      <c r="C7" s="129" t="s">
        <v>1219</v>
      </c>
      <c r="D7" s="132"/>
      <c r="E7" s="132"/>
    </row>
    <row r="8" ht="22.5" customHeight="1">
      <c r="A8" s="128" t="s">
        <v>853</v>
      </c>
      <c r="B8" s="129" t="s">
        <v>1220</v>
      </c>
      <c r="C8" s="129" t="s">
        <v>1221</v>
      </c>
      <c r="D8" s="132"/>
      <c r="E8" s="131"/>
    </row>
    <row r="9" ht="22.5" customHeight="1">
      <c r="A9" s="128" t="s">
        <v>853</v>
      </c>
      <c r="B9" s="129" t="s">
        <v>1222</v>
      </c>
      <c r="C9" s="129" t="s">
        <v>1223</v>
      </c>
      <c r="D9" s="131"/>
      <c r="E9" s="131"/>
    </row>
    <row r="10" ht="22.5" customHeight="1">
      <c r="A10" s="128" t="s">
        <v>853</v>
      </c>
      <c r="B10" s="129" t="s">
        <v>859</v>
      </c>
      <c r="C10" s="129" t="s">
        <v>1224</v>
      </c>
      <c r="D10" s="132"/>
      <c r="E10" s="132"/>
    </row>
    <row r="11" ht="22.5" customHeight="1">
      <c r="A11" s="128" t="s">
        <v>1225</v>
      </c>
      <c r="B11" s="129" t="s">
        <v>1226</v>
      </c>
      <c r="C11" s="129" t="s">
        <v>1227</v>
      </c>
      <c r="D11" s="130" t="s">
        <v>1211</v>
      </c>
      <c r="E11" s="130" t="s">
        <v>1211</v>
      </c>
    </row>
    <row r="12" ht="22.5" customHeight="1">
      <c r="A12" s="128" t="s">
        <v>1225</v>
      </c>
      <c r="B12" s="129" t="s">
        <v>869</v>
      </c>
      <c r="C12" s="129" t="s">
        <v>1228</v>
      </c>
      <c r="D12" s="130" t="s">
        <v>1211</v>
      </c>
      <c r="E12" s="132"/>
    </row>
    <row r="13" ht="22.5" customHeight="1">
      <c r="A13" s="128" t="s">
        <v>927</v>
      </c>
      <c r="B13" s="129" t="s">
        <v>929</v>
      </c>
      <c r="C13" s="129" t="s">
        <v>1229</v>
      </c>
      <c r="D13" s="130" t="s">
        <v>1211</v>
      </c>
      <c r="E13" s="131" t="s">
        <v>1211</v>
      </c>
    </row>
    <row r="14" ht="22.5" customHeight="1">
      <c r="A14" s="128" t="s">
        <v>927</v>
      </c>
      <c r="B14" s="129" t="s">
        <v>1230</v>
      </c>
      <c r="C14" s="129" t="s">
        <v>1231</v>
      </c>
      <c r="D14" s="130" t="s">
        <v>1211</v>
      </c>
      <c r="E14" s="132"/>
    </row>
    <row r="15" ht="22.5" customHeight="1">
      <c r="A15" s="128" t="s">
        <v>927</v>
      </c>
      <c r="B15" s="129" t="s">
        <v>949</v>
      </c>
      <c r="C15" s="129" t="s">
        <v>1232</v>
      </c>
      <c r="D15" s="130" t="s">
        <v>1233</v>
      </c>
      <c r="E15" s="132"/>
    </row>
    <row r="16" ht="22.5" customHeight="1">
      <c r="A16" s="128" t="s">
        <v>927</v>
      </c>
      <c r="B16" s="129" t="s">
        <v>947</v>
      </c>
      <c r="C16" s="129" t="s">
        <v>1234</v>
      </c>
      <c r="D16" s="130" t="s">
        <v>1235</v>
      </c>
      <c r="E16" s="131" t="s">
        <v>1236</v>
      </c>
    </row>
    <row r="17" ht="22.5" customHeight="1">
      <c r="A17" s="128" t="s">
        <v>927</v>
      </c>
      <c r="B17" s="129" t="s">
        <v>945</v>
      </c>
      <c r="C17" s="129" t="s">
        <v>1237</v>
      </c>
      <c r="D17" s="130" t="s">
        <v>1235</v>
      </c>
      <c r="E17" s="131" t="s">
        <v>1236</v>
      </c>
    </row>
    <row r="18" ht="22.5" customHeight="1">
      <c r="A18" s="128" t="s">
        <v>927</v>
      </c>
      <c r="B18" s="129" t="s">
        <v>1238</v>
      </c>
      <c r="C18" s="129" t="s">
        <v>1239</v>
      </c>
      <c r="D18" s="130" t="s">
        <v>1211</v>
      </c>
      <c r="E18" s="131" t="s">
        <v>1240</v>
      </c>
    </row>
    <row r="19" ht="22.5" customHeight="1">
      <c r="A19" s="128" t="s">
        <v>927</v>
      </c>
      <c r="B19" s="129" t="s">
        <v>1241</v>
      </c>
      <c r="C19" s="129" t="s">
        <v>1242</v>
      </c>
      <c r="D19" s="130" t="s">
        <v>1243</v>
      </c>
      <c r="E19" s="130" t="s">
        <v>1211</v>
      </c>
    </row>
    <row r="20" ht="22.5" customHeight="1">
      <c r="A20" s="128" t="s">
        <v>927</v>
      </c>
      <c r="B20" s="129" t="s">
        <v>949</v>
      </c>
      <c r="C20" s="129" t="s">
        <v>1244</v>
      </c>
      <c r="D20" s="130" t="s">
        <v>1211</v>
      </c>
      <c r="E20" s="132"/>
    </row>
    <row r="21" ht="22.5" customHeight="1">
      <c r="A21" s="128" t="s">
        <v>927</v>
      </c>
      <c r="B21" s="129" t="s">
        <v>1245</v>
      </c>
      <c r="C21" s="129" t="s">
        <v>1246</v>
      </c>
      <c r="D21" s="130" t="s">
        <v>1247</v>
      </c>
      <c r="E21" s="131" t="s">
        <v>1248</v>
      </c>
    </row>
    <row r="22" ht="22.5" customHeight="1">
      <c r="A22" s="128" t="s">
        <v>877</v>
      </c>
      <c r="B22" s="133" t="s">
        <v>1249</v>
      </c>
      <c r="C22" s="133" t="s">
        <v>1250</v>
      </c>
      <c r="D22" s="130" t="s">
        <v>1211</v>
      </c>
      <c r="E22" s="130" t="s">
        <v>1248</v>
      </c>
    </row>
    <row r="23" ht="22.5" customHeight="1">
      <c r="A23" s="134" t="s">
        <v>877</v>
      </c>
      <c r="B23" s="133" t="s">
        <v>1251</v>
      </c>
      <c r="C23" s="133" t="s">
        <v>1252</v>
      </c>
      <c r="D23" s="130" t="s">
        <v>1253</v>
      </c>
      <c r="E23" s="131" t="s">
        <v>1211</v>
      </c>
    </row>
    <row r="24" ht="22.5" customHeight="1">
      <c r="A24" s="128" t="s">
        <v>877</v>
      </c>
      <c r="B24" s="129" t="s">
        <v>1254</v>
      </c>
      <c r="C24" s="129" t="s">
        <v>1255</v>
      </c>
      <c r="D24" s="130" t="s">
        <v>1235</v>
      </c>
      <c r="E24" s="131" t="s">
        <v>1236</v>
      </c>
    </row>
    <row r="25" ht="22.5" customHeight="1">
      <c r="A25" s="128" t="s">
        <v>877</v>
      </c>
      <c r="B25" s="133" t="s">
        <v>900</v>
      </c>
      <c r="C25" s="133" t="s">
        <v>1256</v>
      </c>
      <c r="D25" s="130" t="s">
        <v>1233</v>
      </c>
      <c r="E25" s="130" t="s">
        <v>1211</v>
      </c>
    </row>
    <row r="26" ht="22.5" customHeight="1">
      <c r="A26" s="128" t="s">
        <v>877</v>
      </c>
      <c r="B26" s="133" t="s">
        <v>1257</v>
      </c>
      <c r="C26" s="133" t="s">
        <v>1258</v>
      </c>
      <c r="D26" s="130" t="s">
        <v>1235</v>
      </c>
      <c r="E26" s="130" t="s">
        <v>1211</v>
      </c>
    </row>
    <row r="27" ht="22.5" customHeight="1">
      <c r="A27" s="128" t="s">
        <v>877</v>
      </c>
      <c r="B27" s="133" t="s">
        <v>1259</v>
      </c>
      <c r="C27" s="133" t="s">
        <v>1260</v>
      </c>
      <c r="D27" s="130" t="s">
        <v>1235</v>
      </c>
      <c r="E27" s="131"/>
    </row>
    <row r="28" ht="22.5" customHeight="1">
      <c r="A28" s="128" t="s">
        <v>877</v>
      </c>
      <c r="B28" s="133" t="s">
        <v>1261</v>
      </c>
      <c r="C28" s="133" t="s">
        <v>1262</v>
      </c>
      <c r="D28" s="130" t="s">
        <v>1211</v>
      </c>
      <c r="E28" s="131" t="s">
        <v>1211</v>
      </c>
    </row>
    <row r="29" ht="22.5" customHeight="1">
      <c r="A29" s="128" t="s">
        <v>877</v>
      </c>
      <c r="B29" s="133" t="s">
        <v>919</v>
      </c>
      <c r="C29" s="133" t="s">
        <v>1263</v>
      </c>
      <c r="D29" s="130" t="s">
        <v>1247</v>
      </c>
      <c r="E29" s="130" t="s">
        <v>1240</v>
      </c>
    </row>
    <row r="30" ht="22.5" customHeight="1">
      <c r="A30" s="128" t="s">
        <v>877</v>
      </c>
      <c r="B30" s="133" t="s">
        <v>905</v>
      </c>
      <c r="C30" s="133" t="s">
        <v>1264</v>
      </c>
      <c r="D30" s="130" t="s">
        <v>1243</v>
      </c>
      <c r="E30" s="130" t="s">
        <v>1211</v>
      </c>
    </row>
    <row r="31" ht="22.5" customHeight="1">
      <c r="A31" s="128" t="s">
        <v>877</v>
      </c>
      <c r="B31" s="133" t="s">
        <v>1265</v>
      </c>
      <c r="C31" s="133" t="s">
        <v>1266</v>
      </c>
      <c r="D31" s="130" t="s">
        <v>1211</v>
      </c>
      <c r="E31" s="131" t="s">
        <v>1211</v>
      </c>
    </row>
    <row r="32" ht="22.5" customHeight="1">
      <c r="A32" s="128" t="s">
        <v>877</v>
      </c>
      <c r="B32" s="133" t="s">
        <v>903</v>
      </c>
      <c r="C32" s="133" t="s">
        <v>1267</v>
      </c>
      <c r="D32" s="130" t="s">
        <v>1211</v>
      </c>
      <c r="E32" s="130" t="s">
        <v>1236</v>
      </c>
    </row>
    <row r="33" ht="22.5" customHeight="1">
      <c r="A33" s="128" t="s">
        <v>955</v>
      </c>
      <c r="B33" s="129" t="s">
        <v>1268</v>
      </c>
      <c r="C33" s="129" t="s">
        <v>1269</v>
      </c>
      <c r="D33" s="130" t="s">
        <v>1211</v>
      </c>
      <c r="E33" s="130" t="s">
        <v>1211</v>
      </c>
    </row>
    <row r="34" ht="22.5" customHeight="1">
      <c r="A34" s="128" t="s">
        <v>955</v>
      </c>
      <c r="B34" s="129" t="s">
        <v>1270</v>
      </c>
      <c r="C34" s="129" t="s">
        <v>1271</v>
      </c>
      <c r="D34" s="130" t="s">
        <v>1211</v>
      </c>
      <c r="E34" s="131" t="s">
        <v>1211</v>
      </c>
    </row>
    <row r="35" ht="22.5" customHeight="1">
      <c r="A35" s="128" t="s">
        <v>955</v>
      </c>
      <c r="B35" s="129" t="s">
        <v>1272</v>
      </c>
      <c r="C35" s="129" t="s">
        <v>1273</v>
      </c>
      <c r="D35" s="130" t="s">
        <v>1211</v>
      </c>
      <c r="E35" s="130" t="s">
        <v>1211</v>
      </c>
    </row>
    <row r="36" ht="22.5" customHeight="1">
      <c r="A36" s="128" t="s">
        <v>955</v>
      </c>
      <c r="B36" s="129" t="s">
        <v>1274</v>
      </c>
      <c r="C36" s="129" t="s">
        <v>1275</v>
      </c>
      <c r="D36" s="130" t="s">
        <v>1211</v>
      </c>
      <c r="E36" s="131"/>
    </row>
    <row r="37" ht="22.5" customHeight="1">
      <c r="A37" s="128" t="s">
        <v>955</v>
      </c>
      <c r="B37" s="129" t="s">
        <v>975</v>
      </c>
      <c r="C37" s="129" t="s">
        <v>1276</v>
      </c>
      <c r="D37" s="130" t="s">
        <v>1211</v>
      </c>
      <c r="E37" s="132"/>
    </row>
    <row r="38" ht="31.5" customHeight="1">
      <c r="A38" s="128" t="s">
        <v>955</v>
      </c>
      <c r="B38" s="129" t="s">
        <v>1277</v>
      </c>
      <c r="C38" s="129" t="s">
        <v>1278</v>
      </c>
      <c r="D38" s="130" t="s">
        <v>1211</v>
      </c>
      <c r="E38" s="132"/>
    </row>
    <row r="39" ht="22.5" customHeight="1">
      <c r="A39" s="128" t="s">
        <v>955</v>
      </c>
      <c r="B39" s="129" t="s">
        <v>1279</v>
      </c>
      <c r="C39" s="129" t="s">
        <v>1280</v>
      </c>
      <c r="D39" s="130" t="s">
        <v>1253</v>
      </c>
      <c r="E39" s="131" t="s">
        <v>1240</v>
      </c>
    </row>
    <row r="40" ht="24.0" customHeight="1">
      <c r="A40" s="128" t="s">
        <v>955</v>
      </c>
      <c r="B40" s="129" t="s">
        <v>1281</v>
      </c>
      <c r="C40" s="129" t="s">
        <v>1282</v>
      </c>
      <c r="D40" s="130" t="s">
        <v>1253</v>
      </c>
      <c r="E40" s="131" t="s">
        <v>1211</v>
      </c>
    </row>
    <row r="41" ht="22.5" customHeight="1">
      <c r="A41" s="128" t="s">
        <v>955</v>
      </c>
      <c r="B41" s="129" t="s">
        <v>1283</v>
      </c>
      <c r="C41" s="129" t="s">
        <v>1284</v>
      </c>
      <c r="D41" s="130" t="s">
        <v>1211</v>
      </c>
      <c r="E41" s="130" t="s">
        <v>1211</v>
      </c>
    </row>
    <row r="42" ht="22.5" customHeight="1">
      <c r="A42" s="128" t="s">
        <v>955</v>
      </c>
      <c r="B42" s="129" t="s">
        <v>1285</v>
      </c>
      <c r="C42" s="129" t="s">
        <v>1286</v>
      </c>
      <c r="D42" s="130" t="s">
        <v>1211</v>
      </c>
      <c r="E42" s="130" t="s">
        <v>1211</v>
      </c>
    </row>
    <row r="43" ht="22.5" customHeight="1">
      <c r="A43" s="128" t="s">
        <v>955</v>
      </c>
      <c r="B43" s="129" t="s">
        <v>1287</v>
      </c>
      <c r="C43" s="129" t="s">
        <v>1288</v>
      </c>
      <c r="D43" s="130" t="s">
        <v>1211</v>
      </c>
      <c r="E43" s="131" t="s">
        <v>1289</v>
      </c>
    </row>
    <row r="44" ht="22.5" customHeight="1">
      <c r="A44" s="128" t="s">
        <v>955</v>
      </c>
      <c r="B44" s="129" t="s">
        <v>1290</v>
      </c>
      <c r="C44" s="129" t="s">
        <v>1291</v>
      </c>
      <c r="D44" s="130" t="s">
        <v>1253</v>
      </c>
      <c r="E44" s="131" t="s">
        <v>1248</v>
      </c>
    </row>
    <row r="45" ht="22.5" customHeight="1">
      <c r="A45" s="128" t="s">
        <v>955</v>
      </c>
      <c r="B45" s="129" t="s">
        <v>1292</v>
      </c>
      <c r="C45" s="129" t="s">
        <v>1293</v>
      </c>
      <c r="D45" s="130" t="s">
        <v>1294</v>
      </c>
      <c r="E45" s="130" t="s">
        <v>1211</v>
      </c>
    </row>
    <row r="46" ht="22.5" customHeight="1">
      <c r="A46" s="128" t="s">
        <v>955</v>
      </c>
      <c r="B46" s="129" t="s">
        <v>1295</v>
      </c>
      <c r="C46" s="129" t="s">
        <v>1296</v>
      </c>
      <c r="D46" s="130" t="s">
        <v>1294</v>
      </c>
      <c r="E46" s="131" t="s">
        <v>1236</v>
      </c>
    </row>
    <row r="47" ht="22.5" customHeight="1">
      <c r="A47" s="128" t="s">
        <v>955</v>
      </c>
      <c r="B47" s="129" t="s">
        <v>1297</v>
      </c>
      <c r="C47" s="129" t="s">
        <v>1298</v>
      </c>
      <c r="D47" s="130" t="s">
        <v>1299</v>
      </c>
      <c r="E47" s="130" t="s">
        <v>1211</v>
      </c>
    </row>
    <row r="48" ht="22.5" customHeight="1">
      <c r="A48" s="128" t="s">
        <v>955</v>
      </c>
      <c r="B48" s="129" t="s">
        <v>1300</v>
      </c>
      <c r="C48" s="129" t="s">
        <v>1301</v>
      </c>
      <c r="D48" s="130" t="s">
        <v>1302</v>
      </c>
      <c r="E48" s="130" t="s">
        <v>1211</v>
      </c>
    </row>
    <row r="49" ht="31.5" customHeight="1">
      <c r="A49" s="128" t="s">
        <v>955</v>
      </c>
      <c r="B49" s="129" t="s">
        <v>1303</v>
      </c>
      <c r="C49" s="129" t="s">
        <v>1304</v>
      </c>
      <c r="D49" s="130" t="s">
        <v>1302</v>
      </c>
      <c r="E49" s="130" t="s">
        <v>1211</v>
      </c>
    </row>
    <row r="50" ht="22.5" customHeight="1">
      <c r="A50" s="128" t="s">
        <v>955</v>
      </c>
      <c r="B50" s="129" t="s">
        <v>1305</v>
      </c>
      <c r="C50" s="129" t="s">
        <v>1306</v>
      </c>
      <c r="D50" s="130" t="s">
        <v>1233</v>
      </c>
      <c r="E50" s="130" t="s">
        <v>1240</v>
      </c>
    </row>
    <row r="51" ht="22.5" customHeight="1">
      <c r="A51" s="128" t="s">
        <v>955</v>
      </c>
      <c r="B51" s="129" t="s">
        <v>1307</v>
      </c>
      <c r="C51" s="129" t="s">
        <v>1308</v>
      </c>
      <c r="D51" s="130" t="s">
        <v>1211</v>
      </c>
      <c r="E51" s="130" t="s">
        <v>1309</v>
      </c>
    </row>
    <row r="52" ht="31.5" customHeight="1">
      <c r="A52" s="128" t="s">
        <v>955</v>
      </c>
      <c r="B52" s="129" t="s">
        <v>1310</v>
      </c>
      <c r="C52" s="129" t="s">
        <v>1311</v>
      </c>
      <c r="D52" s="130" t="s">
        <v>1211</v>
      </c>
      <c r="E52" s="130" t="s">
        <v>1312</v>
      </c>
    </row>
    <row r="53" ht="31.5" customHeight="1">
      <c r="A53" s="128" t="s">
        <v>955</v>
      </c>
      <c r="B53" s="129" t="s">
        <v>1313</v>
      </c>
      <c r="C53" s="129" t="s">
        <v>1314</v>
      </c>
      <c r="D53" s="130" t="s">
        <v>1235</v>
      </c>
      <c r="E53" s="131" t="s">
        <v>1240</v>
      </c>
    </row>
    <row r="54" ht="22.5" customHeight="1">
      <c r="A54" s="128" t="s">
        <v>955</v>
      </c>
      <c r="B54" s="129" t="s">
        <v>1315</v>
      </c>
      <c r="C54" s="129" t="s">
        <v>1316</v>
      </c>
      <c r="D54" s="130" t="s">
        <v>1211</v>
      </c>
      <c r="E54" s="130" t="s">
        <v>1317</v>
      </c>
    </row>
    <row r="55" ht="22.5" customHeight="1">
      <c r="A55" s="128" t="s">
        <v>955</v>
      </c>
      <c r="B55" s="129" t="s">
        <v>1318</v>
      </c>
      <c r="C55" s="129" t="s">
        <v>1319</v>
      </c>
      <c r="D55" s="130" t="s">
        <v>1247</v>
      </c>
      <c r="E55" s="130" t="s">
        <v>1248</v>
      </c>
    </row>
    <row r="56" ht="22.5" customHeight="1">
      <c r="A56" s="128" t="s">
        <v>955</v>
      </c>
      <c r="B56" s="129" t="s">
        <v>1320</v>
      </c>
      <c r="C56" s="129" t="s">
        <v>1321</v>
      </c>
      <c r="D56" s="130" t="s">
        <v>1211</v>
      </c>
      <c r="E56" s="130" t="s">
        <v>1312</v>
      </c>
    </row>
    <row r="57" ht="22.5" customHeight="1">
      <c r="A57" s="128" t="s">
        <v>955</v>
      </c>
      <c r="B57" s="129" t="s">
        <v>1322</v>
      </c>
      <c r="C57" s="129" t="s">
        <v>1323</v>
      </c>
      <c r="D57" s="130" t="s">
        <v>1211</v>
      </c>
      <c r="E57" s="130" t="s">
        <v>1211</v>
      </c>
    </row>
    <row r="58" ht="22.5" customHeight="1">
      <c r="A58" s="128"/>
      <c r="D58" s="132"/>
      <c r="E58" s="132"/>
    </row>
    <row r="59" ht="22.5" customHeight="1">
      <c r="A59" s="128"/>
      <c r="D59" s="132"/>
      <c r="E59" s="131"/>
    </row>
    <row r="60" ht="22.5" customHeight="1">
      <c r="A60" s="128"/>
      <c r="D60" s="132"/>
      <c r="E60" s="132"/>
    </row>
    <row r="61" ht="22.5" customHeight="1">
      <c r="A61" s="135"/>
      <c r="D61" s="132"/>
      <c r="E61" s="132"/>
    </row>
    <row r="62" ht="22.5" customHeight="1">
      <c r="A62" s="128"/>
      <c r="D62" s="132"/>
      <c r="E62" s="131"/>
    </row>
    <row r="63">
      <c r="A63" s="57"/>
    </row>
    <row r="64">
      <c r="A64" s="57"/>
    </row>
    <row r="65">
      <c r="A65" s="57"/>
    </row>
    <row r="66">
      <c r="A66" s="57"/>
    </row>
    <row r="67">
      <c r="A67" s="57"/>
    </row>
    <row r="68">
      <c r="A68" s="57"/>
    </row>
    <row r="69">
      <c r="A69" s="57"/>
    </row>
    <row r="70">
      <c r="A70" s="57"/>
    </row>
    <row r="71">
      <c r="A71" s="57"/>
    </row>
    <row r="72">
      <c r="A72" s="57"/>
    </row>
    <row r="73">
      <c r="A73" s="57"/>
    </row>
    <row r="74">
      <c r="A74" s="57"/>
    </row>
    <row r="75">
      <c r="A75" s="57"/>
    </row>
    <row r="76">
      <c r="A76" s="57"/>
    </row>
    <row r="77">
      <c r="A77" s="57"/>
    </row>
    <row r="78">
      <c r="A78" s="57"/>
    </row>
    <row r="79">
      <c r="A79" s="57"/>
    </row>
    <row r="80">
      <c r="A80" s="57"/>
    </row>
    <row r="81">
      <c r="A81" s="57"/>
    </row>
    <row r="82">
      <c r="A82" s="57"/>
    </row>
    <row r="83">
      <c r="A83" s="57"/>
    </row>
    <row r="84">
      <c r="A84" s="57"/>
    </row>
    <row r="85">
      <c r="A85" s="57"/>
    </row>
    <row r="86">
      <c r="A86" s="57"/>
    </row>
    <row r="87">
      <c r="A87" s="57"/>
    </row>
    <row r="88">
      <c r="A88" s="57"/>
    </row>
    <row r="89">
      <c r="A89" s="57"/>
    </row>
    <row r="90">
      <c r="A90" s="57"/>
    </row>
    <row r="91">
      <c r="A91" s="57"/>
    </row>
    <row r="92">
      <c r="A92" s="57"/>
    </row>
    <row r="93">
      <c r="A93" s="57"/>
    </row>
    <row r="94">
      <c r="A94" s="57"/>
    </row>
    <row r="95">
      <c r="A95" s="57"/>
    </row>
    <row r="96">
      <c r="A96" s="57"/>
    </row>
    <row r="97">
      <c r="A97" s="57"/>
    </row>
    <row r="98">
      <c r="A98" s="57"/>
    </row>
    <row r="99">
      <c r="A99" s="57"/>
    </row>
    <row r="100">
      <c r="A100" s="57"/>
    </row>
    <row r="101">
      <c r="A101" s="57"/>
    </row>
    <row r="102">
      <c r="A102" s="57"/>
    </row>
    <row r="103">
      <c r="A103" s="57"/>
    </row>
    <row r="104">
      <c r="A104" s="57"/>
    </row>
    <row r="105">
      <c r="A105" s="57"/>
    </row>
    <row r="106">
      <c r="A106" s="57"/>
    </row>
    <row r="107">
      <c r="A107" s="57"/>
    </row>
    <row r="108">
      <c r="A108" s="57"/>
    </row>
    <row r="109">
      <c r="A109" s="57"/>
    </row>
    <row r="110">
      <c r="A110" s="57"/>
    </row>
    <row r="111">
      <c r="A111" s="57"/>
    </row>
    <row r="112">
      <c r="A112" s="57"/>
    </row>
    <row r="113">
      <c r="A113" s="57"/>
    </row>
    <row r="114">
      <c r="A114" s="57"/>
    </row>
    <row r="115">
      <c r="A115" s="57"/>
    </row>
    <row r="116">
      <c r="A116" s="57"/>
    </row>
    <row r="117">
      <c r="A117" s="57"/>
    </row>
    <row r="118">
      <c r="A118" s="57"/>
    </row>
    <row r="119">
      <c r="A119" s="57"/>
    </row>
    <row r="120">
      <c r="A120" s="57"/>
    </row>
    <row r="121">
      <c r="A121" s="57"/>
    </row>
    <row r="122">
      <c r="A122" s="57"/>
    </row>
    <row r="123">
      <c r="A123" s="57"/>
    </row>
    <row r="124">
      <c r="A124" s="57"/>
    </row>
    <row r="125">
      <c r="A125" s="57"/>
    </row>
    <row r="126">
      <c r="A126" s="57"/>
    </row>
    <row r="127">
      <c r="A127" s="57"/>
    </row>
    <row r="128">
      <c r="A128" s="57"/>
    </row>
    <row r="129">
      <c r="A129" s="57"/>
    </row>
    <row r="130">
      <c r="A130" s="57"/>
    </row>
    <row r="131">
      <c r="A131" s="57"/>
    </row>
    <row r="132">
      <c r="A132" s="57"/>
    </row>
    <row r="133">
      <c r="A133" s="57"/>
    </row>
    <row r="134">
      <c r="A134" s="57"/>
    </row>
    <row r="135">
      <c r="A135" s="57"/>
    </row>
    <row r="136">
      <c r="A136" s="57"/>
    </row>
    <row r="137">
      <c r="A137" s="57"/>
    </row>
    <row r="138">
      <c r="A138" s="57"/>
    </row>
    <row r="139">
      <c r="A139" s="57"/>
    </row>
    <row r="140">
      <c r="A140" s="57"/>
    </row>
    <row r="141">
      <c r="A141" s="57"/>
    </row>
    <row r="142">
      <c r="A142" s="57"/>
    </row>
    <row r="143">
      <c r="A143" s="57"/>
    </row>
    <row r="144">
      <c r="A144" s="57"/>
    </row>
    <row r="145">
      <c r="A145" s="57"/>
    </row>
    <row r="146">
      <c r="A146" s="57"/>
    </row>
    <row r="147">
      <c r="A147" s="57"/>
    </row>
    <row r="148">
      <c r="A148" s="57"/>
    </row>
    <row r="149">
      <c r="A149" s="57"/>
    </row>
    <row r="150">
      <c r="A150" s="57"/>
    </row>
    <row r="151">
      <c r="A151" s="57"/>
    </row>
    <row r="152">
      <c r="A152" s="57"/>
    </row>
    <row r="153">
      <c r="A153" s="57"/>
    </row>
    <row r="154">
      <c r="A154" s="57"/>
    </row>
    <row r="155">
      <c r="A155" s="57"/>
    </row>
    <row r="156">
      <c r="A156" s="57"/>
    </row>
    <row r="157">
      <c r="A157" s="57"/>
    </row>
    <row r="158">
      <c r="A158" s="57"/>
    </row>
    <row r="159">
      <c r="A159" s="57"/>
    </row>
    <row r="160">
      <c r="A160" s="57"/>
    </row>
    <row r="161">
      <c r="A161" s="57"/>
    </row>
    <row r="162">
      <c r="A162" s="57"/>
    </row>
    <row r="163">
      <c r="A163" s="57"/>
    </row>
    <row r="164">
      <c r="A164" s="57"/>
    </row>
    <row r="165">
      <c r="A165" s="57"/>
    </row>
    <row r="166">
      <c r="A166" s="57"/>
    </row>
    <row r="167">
      <c r="A167" s="57"/>
    </row>
    <row r="168">
      <c r="A168" s="57"/>
    </row>
    <row r="169">
      <c r="A169" s="57"/>
    </row>
    <row r="170">
      <c r="A170" s="57"/>
    </row>
    <row r="171">
      <c r="A171" s="57"/>
    </row>
    <row r="172">
      <c r="A172" s="57"/>
    </row>
    <row r="173">
      <c r="A173" s="57"/>
    </row>
    <row r="174">
      <c r="A174" s="57"/>
    </row>
    <row r="175">
      <c r="A175" s="57"/>
    </row>
    <row r="176">
      <c r="A176" s="57"/>
    </row>
    <row r="177">
      <c r="A177" s="57"/>
    </row>
    <row r="178">
      <c r="A178" s="57"/>
    </row>
    <row r="179">
      <c r="A179" s="57"/>
    </row>
    <row r="180">
      <c r="A180" s="57"/>
    </row>
    <row r="181">
      <c r="A181" s="57"/>
    </row>
    <row r="182">
      <c r="A182" s="57"/>
    </row>
    <row r="183">
      <c r="A183" s="57"/>
    </row>
    <row r="184">
      <c r="A184" s="57"/>
    </row>
    <row r="185">
      <c r="A185" s="57"/>
    </row>
    <row r="186">
      <c r="A186" s="57"/>
    </row>
    <row r="187">
      <c r="A187" s="57"/>
    </row>
    <row r="188">
      <c r="A188" s="57"/>
    </row>
    <row r="189">
      <c r="A189" s="57"/>
    </row>
    <row r="190">
      <c r="A190" s="57"/>
    </row>
    <row r="191">
      <c r="A191" s="57"/>
    </row>
    <row r="192">
      <c r="A192" s="57"/>
    </row>
    <row r="193">
      <c r="A193" s="57"/>
    </row>
    <row r="194">
      <c r="A194" s="57"/>
    </row>
    <row r="195">
      <c r="A195" s="57"/>
    </row>
    <row r="196">
      <c r="A196" s="57"/>
    </row>
    <row r="197">
      <c r="A197" s="57"/>
    </row>
    <row r="198">
      <c r="A198" s="57"/>
    </row>
    <row r="199">
      <c r="A199" s="57"/>
    </row>
    <row r="200">
      <c r="A200" s="57"/>
    </row>
    <row r="201">
      <c r="A201" s="57"/>
    </row>
    <row r="202">
      <c r="A202" s="57"/>
    </row>
    <row r="203">
      <c r="A203" s="57"/>
    </row>
    <row r="204">
      <c r="A204" s="57"/>
    </row>
    <row r="205">
      <c r="A205" s="57"/>
    </row>
    <row r="206">
      <c r="A206" s="57"/>
    </row>
    <row r="207">
      <c r="A207" s="57"/>
    </row>
    <row r="208">
      <c r="A208" s="57"/>
    </row>
    <row r="209">
      <c r="A209" s="57"/>
    </row>
    <row r="210">
      <c r="A210" s="57"/>
    </row>
    <row r="211">
      <c r="A211" s="57"/>
    </row>
    <row r="212">
      <c r="A212" s="57"/>
    </row>
    <row r="213">
      <c r="A213" s="57"/>
    </row>
    <row r="214">
      <c r="A214" s="57"/>
    </row>
    <row r="215">
      <c r="A215" s="57"/>
    </row>
    <row r="216">
      <c r="A216" s="57"/>
    </row>
    <row r="217">
      <c r="A217" s="57"/>
    </row>
    <row r="218">
      <c r="A218" s="57"/>
    </row>
    <row r="219">
      <c r="A219" s="57"/>
    </row>
    <row r="220">
      <c r="A220" s="57"/>
    </row>
    <row r="221">
      <c r="A221" s="57"/>
    </row>
    <row r="222">
      <c r="A222" s="57"/>
    </row>
    <row r="223">
      <c r="A223" s="57"/>
    </row>
    <row r="224">
      <c r="A224" s="57"/>
    </row>
    <row r="225">
      <c r="A225" s="57"/>
    </row>
    <row r="226">
      <c r="A226" s="57"/>
    </row>
    <row r="227">
      <c r="A227" s="57"/>
    </row>
    <row r="228">
      <c r="A228" s="57"/>
    </row>
    <row r="229">
      <c r="A229" s="57"/>
    </row>
    <row r="230">
      <c r="A230" s="57"/>
    </row>
    <row r="231">
      <c r="A231" s="57"/>
    </row>
    <row r="232">
      <c r="A232" s="57"/>
    </row>
    <row r="233">
      <c r="A233" s="57"/>
    </row>
    <row r="234">
      <c r="A234" s="57"/>
    </row>
    <row r="235">
      <c r="A235" s="57"/>
    </row>
    <row r="236">
      <c r="A236" s="57"/>
    </row>
    <row r="237">
      <c r="A237" s="57"/>
    </row>
    <row r="238">
      <c r="A238" s="57"/>
    </row>
    <row r="239">
      <c r="A239" s="57"/>
    </row>
    <row r="240">
      <c r="A240" s="57"/>
    </row>
    <row r="241">
      <c r="A241" s="57"/>
    </row>
    <row r="242">
      <c r="A242" s="57"/>
    </row>
    <row r="243">
      <c r="A243" s="57"/>
    </row>
    <row r="244">
      <c r="A244" s="57"/>
    </row>
    <row r="245">
      <c r="A245" s="57"/>
    </row>
    <row r="246">
      <c r="A246" s="57"/>
    </row>
    <row r="247">
      <c r="A247" s="57"/>
    </row>
    <row r="248">
      <c r="A248" s="57"/>
    </row>
    <row r="249">
      <c r="A249" s="57"/>
    </row>
    <row r="250">
      <c r="A250" s="57"/>
    </row>
    <row r="251">
      <c r="A251" s="57"/>
    </row>
    <row r="252">
      <c r="A252" s="57"/>
    </row>
    <row r="253">
      <c r="A253" s="57"/>
    </row>
    <row r="254">
      <c r="A254" s="57"/>
    </row>
    <row r="255">
      <c r="A255" s="57"/>
    </row>
    <row r="256">
      <c r="A256" s="57"/>
    </row>
    <row r="257">
      <c r="A257" s="57"/>
    </row>
    <row r="258">
      <c r="A258" s="57"/>
    </row>
    <row r="259">
      <c r="A259" s="57"/>
    </row>
    <row r="260">
      <c r="A260" s="57"/>
    </row>
    <row r="261">
      <c r="A261" s="57"/>
    </row>
    <row r="262">
      <c r="A262" s="57"/>
    </row>
    <row r="263">
      <c r="A263" s="57"/>
    </row>
    <row r="264">
      <c r="A264" s="57"/>
    </row>
    <row r="265">
      <c r="A265" s="57"/>
    </row>
    <row r="266">
      <c r="A266" s="57"/>
    </row>
    <row r="267">
      <c r="A267" s="57"/>
    </row>
    <row r="268">
      <c r="A268" s="57"/>
    </row>
    <row r="269">
      <c r="A269" s="57"/>
    </row>
    <row r="270">
      <c r="A270" s="57"/>
    </row>
    <row r="271">
      <c r="A271" s="57"/>
    </row>
    <row r="272">
      <c r="A272" s="57"/>
    </row>
    <row r="273">
      <c r="A273" s="57"/>
    </row>
    <row r="274">
      <c r="A274" s="57"/>
    </row>
    <row r="275">
      <c r="A275" s="57"/>
    </row>
    <row r="276">
      <c r="A276" s="57"/>
    </row>
    <row r="277">
      <c r="A277" s="57"/>
    </row>
    <row r="278">
      <c r="A278" s="57"/>
    </row>
    <row r="279">
      <c r="A279" s="57"/>
    </row>
    <row r="280">
      <c r="A280" s="57"/>
    </row>
    <row r="281">
      <c r="A281" s="57"/>
    </row>
    <row r="282">
      <c r="A282" s="57"/>
    </row>
    <row r="283">
      <c r="A283" s="57"/>
    </row>
    <row r="284">
      <c r="A284" s="57"/>
    </row>
    <row r="285">
      <c r="A285" s="57"/>
    </row>
    <row r="286">
      <c r="A286" s="57"/>
    </row>
    <row r="287">
      <c r="A287" s="57"/>
    </row>
    <row r="288">
      <c r="A288" s="57"/>
    </row>
    <row r="289">
      <c r="A289" s="57"/>
    </row>
    <row r="290">
      <c r="A290" s="57"/>
    </row>
    <row r="291">
      <c r="A291" s="57"/>
    </row>
    <row r="292">
      <c r="A292" s="57"/>
    </row>
    <row r="293">
      <c r="A293" s="57"/>
    </row>
    <row r="294">
      <c r="A294" s="57"/>
    </row>
    <row r="295">
      <c r="A295" s="57"/>
    </row>
    <row r="296">
      <c r="A296" s="57"/>
    </row>
    <row r="297">
      <c r="A297" s="57"/>
    </row>
    <row r="298">
      <c r="A298" s="57"/>
    </row>
    <row r="299">
      <c r="A299" s="57"/>
    </row>
    <row r="300">
      <c r="A300" s="57"/>
    </row>
    <row r="301">
      <c r="A301" s="57"/>
    </row>
    <row r="302">
      <c r="A302" s="57"/>
    </row>
    <row r="303">
      <c r="A303" s="57"/>
    </row>
    <row r="304">
      <c r="A304" s="57"/>
    </row>
    <row r="305">
      <c r="A305" s="57"/>
    </row>
    <row r="306">
      <c r="A306" s="57"/>
    </row>
    <row r="307">
      <c r="A307" s="57"/>
    </row>
    <row r="308">
      <c r="A308" s="57"/>
    </row>
    <row r="309">
      <c r="A309" s="57"/>
    </row>
    <row r="310">
      <c r="A310" s="57"/>
    </row>
    <row r="311">
      <c r="A311" s="57"/>
    </row>
    <row r="312">
      <c r="A312" s="57"/>
    </row>
    <row r="313">
      <c r="A313" s="57"/>
    </row>
    <row r="314">
      <c r="A314" s="57"/>
    </row>
    <row r="315">
      <c r="A315" s="57"/>
    </row>
    <row r="316">
      <c r="A316" s="57"/>
    </row>
    <row r="317">
      <c r="A317" s="57"/>
    </row>
    <row r="318">
      <c r="A318" s="57"/>
    </row>
    <row r="319">
      <c r="A319" s="57"/>
    </row>
    <row r="320">
      <c r="A320" s="57"/>
    </row>
    <row r="321">
      <c r="A321" s="57"/>
    </row>
    <row r="322">
      <c r="A322" s="57"/>
    </row>
    <row r="323">
      <c r="A323" s="57"/>
    </row>
    <row r="324">
      <c r="A324" s="57"/>
    </row>
    <row r="325">
      <c r="A325" s="57"/>
    </row>
    <row r="326">
      <c r="A326" s="57"/>
    </row>
    <row r="327">
      <c r="A327" s="57"/>
    </row>
    <row r="328">
      <c r="A328" s="57"/>
    </row>
    <row r="329">
      <c r="A329" s="57"/>
    </row>
    <row r="330">
      <c r="A330" s="57"/>
    </row>
    <row r="331">
      <c r="A331" s="57"/>
    </row>
    <row r="332">
      <c r="A332" s="57"/>
    </row>
    <row r="333">
      <c r="A333" s="57"/>
    </row>
    <row r="334">
      <c r="A334" s="57"/>
    </row>
    <row r="335">
      <c r="A335" s="57"/>
    </row>
    <row r="336">
      <c r="A336" s="57"/>
    </row>
    <row r="337">
      <c r="A337" s="57"/>
    </row>
    <row r="338">
      <c r="A338" s="57"/>
    </row>
    <row r="339">
      <c r="A339" s="57"/>
    </row>
    <row r="340">
      <c r="A340" s="57"/>
    </row>
    <row r="341">
      <c r="A341" s="57"/>
    </row>
    <row r="342">
      <c r="A342" s="57"/>
    </row>
    <row r="343">
      <c r="A343" s="57"/>
    </row>
    <row r="344">
      <c r="A344" s="57"/>
    </row>
    <row r="345">
      <c r="A345" s="57"/>
    </row>
    <row r="346">
      <c r="A346" s="57"/>
    </row>
    <row r="347">
      <c r="A347" s="57"/>
    </row>
    <row r="348">
      <c r="A348" s="57"/>
    </row>
    <row r="349">
      <c r="A349" s="57"/>
    </row>
    <row r="350">
      <c r="A350" s="57"/>
    </row>
    <row r="351">
      <c r="A351" s="57"/>
    </row>
    <row r="352">
      <c r="A352" s="57"/>
    </row>
    <row r="353">
      <c r="A353" s="57"/>
    </row>
    <row r="354">
      <c r="A354" s="57"/>
    </row>
    <row r="355">
      <c r="A355" s="57"/>
    </row>
    <row r="356">
      <c r="A356" s="57"/>
    </row>
    <row r="357">
      <c r="A357" s="57"/>
    </row>
    <row r="358">
      <c r="A358" s="57"/>
    </row>
    <row r="359">
      <c r="A359" s="57"/>
    </row>
    <row r="360">
      <c r="A360" s="57"/>
    </row>
    <row r="361">
      <c r="A361" s="57"/>
    </row>
    <row r="362">
      <c r="A362" s="57"/>
    </row>
    <row r="363">
      <c r="A363" s="57"/>
    </row>
    <row r="364">
      <c r="A364" s="57"/>
    </row>
    <row r="365">
      <c r="A365" s="57"/>
    </row>
    <row r="366">
      <c r="A366" s="57"/>
    </row>
    <row r="367">
      <c r="A367" s="57"/>
    </row>
    <row r="368">
      <c r="A368" s="57"/>
    </row>
    <row r="369">
      <c r="A369" s="57"/>
    </row>
    <row r="370">
      <c r="A370" s="57"/>
    </row>
    <row r="371">
      <c r="A371" s="57"/>
    </row>
    <row r="372">
      <c r="A372" s="57"/>
    </row>
    <row r="373">
      <c r="A373" s="57"/>
    </row>
    <row r="374">
      <c r="A374" s="57"/>
    </row>
    <row r="375">
      <c r="A375" s="57"/>
    </row>
    <row r="376">
      <c r="A376" s="57"/>
    </row>
    <row r="377">
      <c r="A377" s="57"/>
    </row>
    <row r="378">
      <c r="A378" s="57"/>
    </row>
    <row r="379">
      <c r="A379" s="57"/>
    </row>
    <row r="380">
      <c r="A380" s="57"/>
    </row>
    <row r="381">
      <c r="A381" s="57"/>
    </row>
    <row r="382">
      <c r="A382" s="57"/>
    </row>
    <row r="383">
      <c r="A383" s="57"/>
    </row>
    <row r="384">
      <c r="A384" s="57"/>
    </row>
    <row r="385">
      <c r="A385" s="57"/>
    </row>
    <row r="386">
      <c r="A386" s="57"/>
    </row>
    <row r="387">
      <c r="A387" s="57"/>
    </row>
    <row r="388">
      <c r="A388" s="57"/>
    </row>
    <row r="389">
      <c r="A389" s="57"/>
    </row>
    <row r="390">
      <c r="A390" s="57"/>
    </row>
    <row r="391">
      <c r="A391" s="57"/>
    </row>
    <row r="392">
      <c r="A392" s="57"/>
    </row>
    <row r="393">
      <c r="A393" s="57"/>
    </row>
    <row r="394">
      <c r="A394" s="57"/>
    </row>
    <row r="395">
      <c r="A395" s="57"/>
    </row>
    <row r="396">
      <c r="A396" s="57"/>
    </row>
    <row r="397">
      <c r="A397" s="57"/>
    </row>
    <row r="398">
      <c r="A398" s="57"/>
    </row>
    <row r="399">
      <c r="A399" s="57"/>
    </row>
    <row r="400">
      <c r="A400" s="57"/>
    </row>
    <row r="401">
      <c r="A401" s="57"/>
    </row>
    <row r="402">
      <c r="A402" s="57"/>
    </row>
    <row r="403">
      <c r="A403" s="57"/>
    </row>
    <row r="404">
      <c r="A404" s="57"/>
    </row>
    <row r="405">
      <c r="A405" s="57"/>
    </row>
    <row r="406">
      <c r="A406" s="57"/>
    </row>
    <row r="407">
      <c r="A407" s="57"/>
    </row>
    <row r="408">
      <c r="A408" s="57"/>
    </row>
    <row r="409">
      <c r="A409" s="57"/>
    </row>
    <row r="410">
      <c r="A410" s="57"/>
    </row>
    <row r="411">
      <c r="A411" s="57"/>
    </row>
    <row r="412">
      <c r="A412" s="57"/>
    </row>
    <row r="413">
      <c r="A413" s="57"/>
    </row>
    <row r="414">
      <c r="A414" s="57"/>
    </row>
    <row r="415">
      <c r="A415" s="57"/>
    </row>
    <row r="416">
      <c r="A416" s="57"/>
    </row>
    <row r="417">
      <c r="A417" s="57"/>
    </row>
    <row r="418">
      <c r="A418" s="57"/>
    </row>
    <row r="419">
      <c r="A419" s="57"/>
    </row>
    <row r="420">
      <c r="A420" s="57"/>
    </row>
    <row r="421">
      <c r="A421" s="57"/>
    </row>
    <row r="422">
      <c r="A422" s="57"/>
    </row>
    <row r="423">
      <c r="A423" s="57"/>
    </row>
    <row r="424">
      <c r="A424" s="57"/>
    </row>
    <row r="425">
      <c r="A425" s="57"/>
    </row>
    <row r="426">
      <c r="A426" s="57"/>
    </row>
    <row r="427">
      <c r="A427" s="57"/>
    </row>
    <row r="428">
      <c r="A428" s="57"/>
    </row>
    <row r="429">
      <c r="A429" s="57"/>
    </row>
    <row r="430">
      <c r="A430" s="57"/>
    </row>
    <row r="431">
      <c r="A431" s="57"/>
    </row>
    <row r="432">
      <c r="A432" s="57"/>
    </row>
    <row r="433">
      <c r="A433" s="57"/>
    </row>
    <row r="434">
      <c r="A434" s="57"/>
    </row>
    <row r="435">
      <c r="A435" s="57"/>
    </row>
    <row r="436">
      <c r="A436" s="57"/>
    </row>
    <row r="437">
      <c r="A437" s="57"/>
    </row>
    <row r="438">
      <c r="A438" s="57"/>
    </row>
    <row r="439">
      <c r="A439" s="57"/>
    </row>
    <row r="440">
      <c r="A440" s="57"/>
    </row>
    <row r="441">
      <c r="A441" s="57"/>
    </row>
    <row r="442">
      <c r="A442" s="57"/>
    </row>
    <row r="443">
      <c r="A443" s="57"/>
    </row>
    <row r="444">
      <c r="A444" s="57"/>
    </row>
    <row r="445">
      <c r="A445" s="57"/>
    </row>
    <row r="446">
      <c r="A446" s="57"/>
    </row>
    <row r="447">
      <c r="A447" s="57"/>
    </row>
    <row r="448">
      <c r="A448" s="57"/>
    </row>
    <row r="449">
      <c r="A449" s="57"/>
    </row>
    <row r="450">
      <c r="A450" s="57"/>
    </row>
    <row r="451">
      <c r="A451" s="57"/>
    </row>
    <row r="452">
      <c r="A452" s="57"/>
    </row>
    <row r="453">
      <c r="A453" s="57"/>
    </row>
    <row r="454">
      <c r="A454" s="57"/>
    </row>
    <row r="455">
      <c r="A455" s="57"/>
    </row>
    <row r="456">
      <c r="A456" s="57"/>
    </row>
    <row r="457">
      <c r="A457" s="57"/>
    </row>
    <row r="458">
      <c r="A458" s="57"/>
    </row>
    <row r="459">
      <c r="A459" s="57"/>
    </row>
    <row r="460">
      <c r="A460" s="57"/>
    </row>
    <row r="461">
      <c r="A461" s="57"/>
    </row>
    <row r="462">
      <c r="A462" s="57"/>
    </row>
    <row r="463">
      <c r="A463" s="57"/>
    </row>
    <row r="464">
      <c r="A464" s="57"/>
    </row>
    <row r="465">
      <c r="A465" s="57"/>
    </row>
    <row r="466">
      <c r="A466" s="57"/>
    </row>
    <row r="467">
      <c r="A467" s="57"/>
    </row>
    <row r="468">
      <c r="A468" s="57"/>
    </row>
    <row r="469">
      <c r="A469" s="57"/>
    </row>
    <row r="470">
      <c r="A470" s="57"/>
    </row>
    <row r="471">
      <c r="A471" s="57"/>
    </row>
    <row r="472">
      <c r="A472" s="57"/>
    </row>
    <row r="473">
      <c r="A473" s="57"/>
    </row>
    <row r="474">
      <c r="A474" s="57"/>
    </row>
    <row r="475">
      <c r="A475" s="57"/>
    </row>
    <row r="476">
      <c r="A476" s="57"/>
    </row>
    <row r="477">
      <c r="A477" s="57"/>
    </row>
    <row r="478">
      <c r="A478" s="57"/>
    </row>
    <row r="479">
      <c r="A479" s="57"/>
    </row>
    <row r="480">
      <c r="A480" s="57"/>
    </row>
    <row r="481">
      <c r="A481" s="57"/>
    </row>
    <row r="482">
      <c r="A482" s="57"/>
    </row>
    <row r="483">
      <c r="A483" s="57"/>
    </row>
    <row r="484">
      <c r="A484" s="57"/>
    </row>
    <row r="485">
      <c r="A485" s="57"/>
    </row>
    <row r="486">
      <c r="A486" s="57"/>
    </row>
    <row r="487">
      <c r="A487" s="57"/>
    </row>
    <row r="488">
      <c r="A488" s="57"/>
    </row>
    <row r="489">
      <c r="A489" s="57"/>
    </row>
    <row r="490">
      <c r="A490" s="57"/>
    </row>
    <row r="491">
      <c r="A491" s="57"/>
    </row>
    <row r="492">
      <c r="A492" s="57"/>
    </row>
    <row r="493">
      <c r="A493" s="57"/>
    </row>
    <row r="494">
      <c r="A494" s="57"/>
    </row>
    <row r="495">
      <c r="A495" s="57"/>
    </row>
    <row r="496">
      <c r="A496" s="57"/>
    </row>
    <row r="497">
      <c r="A497" s="57"/>
    </row>
    <row r="498">
      <c r="A498" s="57"/>
    </row>
    <row r="499">
      <c r="A499" s="57"/>
    </row>
    <row r="500">
      <c r="A500" s="57"/>
    </row>
    <row r="501">
      <c r="A501" s="57"/>
    </row>
    <row r="502">
      <c r="A502" s="57"/>
    </row>
    <row r="503">
      <c r="A503" s="57"/>
    </row>
    <row r="504">
      <c r="A504" s="57"/>
    </row>
    <row r="505">
      <c r="A505" s="57"/>
    </row>
    <row r="506">
      <c r="A506" s="57"/>
    </row>
    <row r="507">
      <c r="A507" s="57"/>
    </row>
    <row r="508">
      <c r="A508" s="57"/>
    </row>
    <row r="509">
      <c r="A509" s="57"/>
    </row>
    <row r="510">
      <c r="A510" s="57"/>
    </row>
    <row r="511">
      <c r="A511" s="57"/>
    </row>
    <row r="512">
      <c r="A512" s="57"/>
    </row>
    <row r="513">
      <c r="A513" s="57"/>
    </row>
    <row r="514">
      <c r="A514" s="57"/>
    </row>
    <row r="515">
      <c r="A515" s="57"/>
    </row>
    <row r="516">
      <c r="A516" s="57"/>
    </row>
    <row r="517">
      <c r="A517" s="57"/>
    </row>
    <row r="518">
      <c r="A518" s="57"/>
    </row>
    <row r="519">
      <c r="A519" s="57"/>
    </row>
    <row r="520">
      <c r="A520" s="57"/>
    </row>
    <row r="521">
      <c r="A521" s="57"/>
    </row>
    <row r="522">
      <c r="A522" s="57"/>
    </row>
    <row r="523">
      <c r="A523" s="57"/>
    </row>
    <row r="524">
      <c r="A524" s="57"/>
    </row>
    <row r="525">
      <c r="A525" s="57"/>
    </row>
    <row r="526">
      <c r="A526" s="57"/>
    </row>
    <row r="527">
      <c r="A527" s="57"/>
    </row>
    <row r="528">
      <c r="A528" s="57"/>
    </row>
    <row r="529">
      <c r="A529" s="57"/>
    </row>
    <row r="530">
      <c r="A530" s="57"/>
    </row>
    <row r="531">
      <c r="A531" s="57"/>
    </row>
    <row r="532">
      <c r="A532" s="57"/>
    </row>
    <row r="533">
      <c r="A533" s="57"/>
    </row>
    <row r="534">
      <c r="A534" s="57"/>
    </row>
    <row r="535">
      <c r="A535" s="57"/>
    </row>
    <row r="536">
      <c r="A536" s="57"/>
    </row>
    <row r="537">
      <c r="A537" s="57"/>
    </row>
    <row r="538">
      <c r="A538" s="57"/>
    </row>
    <row r="539">
      <c r="A539" s="57"/>
    </row>
    <row r="540">
      <c r="A540" s="57"/>
    </row>
    <row r="541">
      <c r="A541" s="57"/>
    </row>
    <row r="542">
      <c r="A542" s="57"/>
    </row>
    <row r="543">
      <c r="A543" s="57"/>
    </row>
    <row r="544">
      <c r="A544" s="57"/>
    </row>
    <row r="545">
      <c r="A545" s="57"/>
    </row>
    <row r="546">
      <c r="A546" s="57"/>
    </row>
    <row r="547">
      <c r="A547" s="57"/>
    </row>
    <row r="548">
      <c r="A548" s="57"/>
    </row>
    <row r="549">
      <c r="A549" s="57"/>
    </row>
    <row r="550">
      <c r="A550" s="57"/>
    </row>
    <row r="551">
      <c r="A551" s="57"/>
    </row>
    <row r="552">
      <c r="A552" s="57"/>
    </row>
    <row r="553">
      <c r="A553" s="57"/>
    </row>
    <row r="554">
      <c r="A554" s="57"/>
    </row>
    <row r="555">
      <c r="A555" s="57"/>
    </row>
    <row r="556">
      <c r="A556" s="57"/>
    </row>
    <row r="557">
      <c r="A557" s="57"/>
    </row>
    <row r="558">
      <c r="A558" s="57"/>
    </row>
    <row r="559">
      <c r="A559" s="57"/>
    </row>
    <row r="560">
      <c r="A560" s="57"/>
    </row>
    <row r="561">
      <c r="A561" s="57"/>
    </row>
    <row r="562">
      <c r="A562" s="57"/>
    </row>
    <row r="563">
      <c r="A563" s="57"/>
    </row>
    <row r="564">
      <c r="A564" s="57"/>
    </row>
    <row r="565">
      <c r="A565" s="57"/>
    </row>
    <row r="566">
      <c r="A566" s="57"/>
    </row>
    <row r="567">
      <c r="A567" s="57"/>
    </row>
    <row r="568">
      <c r="A568" s="57"/>
    </row>
    <row r="569">
      <c r="A569" s="57"/>
    </row>
    <row r="570">
      <c r="A570" s="57"/>
    </row>
    <row r="571">
      <c r="A571" s="57"/>
    </row>
    <row r="572">
      <c r="A572" s="57"/>
    </row>
    <row r="573">
      <c r="A573" s="57"/>
    </row>
    <row r="574">
      <c r="A574" s="57"/>
    </row>
    <row r="575">
      <c r="A575" s="57"/>
    </row>
    <row r="576">
      <c r="A576" s="57"/>
    </row>
    <row r="577">
      <c r="A577" s="57"/>
    </row>
    <row r="578">
      <c r="A578" s="57"/>
    </row>
    <row r="579">
      <c r="A579" s="57"/>
    </row>
    <row r="580">
      <c r="A580" s="57"/>
    </row>
    <row r="581">
      <c r="A581" s="57"/>
    </row>
    <row r="582">
      <c r="A582" s="57"/>
    </row>
    <row r="583">
      <c r="A583" s="57"/>
    </row>
    <row r="584">
      <c r="A584" s="57"/>
    </row>
    <row r="585">
      <c r="A585" s="57"/>
    </row>
    <row r="586">
      <c r="A586" s="57"/>
    </row>
    <row r="587">
      <c r="A587" s="57"/>
    </row>
    <row r="588">
      <c r="A588" s="57"/>
    </row>
    <row r="589">
      <c r="A589" s="57"/>
    </row>
    <row r="590">
      <c r="A590" s="57"/>
    </row>
    <row r="591">
      <c r="A591" s="57"/>
    </row>
    <row r="592">
      <c r="A592" s="57"/>
    </row>
    <row r="593">
      <c r="A593" s="57"/>
    </row>
    <row r="594">
      <c r="A594" s="57"/>
    </row>
    <row r="595">
      <c r="A595" s="57"/>
    </row>
    <row r="596">
      <c r="A596" s="57"/>
    </row>
    <row r="597">
      <c r="A597" s="57"/>
    </row>
    <row r="598">
      <c r="A598" s="57"/>
    </row>
    <row r="599">
      <c r="A599" s="57"/>
    </row>
    <row r="600">
      <c r="A600" s="57"/>
    </row>
    <row r="601">
      <c r="A601" s="57"/>
    </row>
    <row r="602">
      <c r="A602" s="57"/>
    </row>
    <row r="603">
      <c r="A603" s="57"/>
    </row>
    <row r="604">
      <c r="A604" s="57"/>
    </row>
    <row r="605">
      <c r="A605" s="57"/>
    </row>
    <row r="606">
      <c r="A606" s="57"/>
    </row>
    <row r="607">
      <c r="A607" s="57"/>
    </row>
    <row r="608">
      <c r="A608" s="57"/>
    </row>
    <row r="609">
      <c r="A609" s="57"/>
    </row>
    <row r="610">
      <c r="A610" s="57"/>
    </row>
    <row r="611">
      <c r="A611" s="57"/>
    </row>
    <row r="612">
      <c r="A612" s="57"/>
    </row>
    <row r="613">
      <c r="A613" s="57"/>
    </row>
    <row r="614">
      <c r="A614" s="57"/>
    </row>
    <row r="615">
      <c r="A615" s="57"/>
    </row>
    <row r="616">
      <c r="A616" s="57"/>
    </row>
    <row r="617">
      <c r="A617" s="57"/>
    </row>
    <row r="618">
      <c r="A618" s="57"/>
    </row>
    <row r="619">
      <c r="A619" s="57"/>
    </row>
    <row r="620">
      <c r="A620" s="57"/>
    </row>
    <row r="621">
      <c r="A621" s="57"/>
    </row>
    <row r="622">
      <c r="A622" s="57"/>
    </row>
    <row r="623">
      <c r="A623" s="57"/>
    </row>
    <row r="624">
      <c r="A624" s="57"/>
    </row>
    <row r="625">
      <c r="A625" s="57"/>
    </row>
    <row r="626">
      <c r="A626" s="57"/>
    </row>
    <row r="627">
      <c r="A627" s="57"/>
    </row>
    <row r="628">
      <c r="A628" s="57"/>
    </row>
    <row r="629">
      <c r="A629" s="57"/>
    </row>
    <row r="630">
      <c r="A630" s="57"/>
    </row>
    <row r="631">
      <c r="A631" s="57"/>
    </row>
    <row r="632">
      <c r="A632" s="57"/>
    </row>
    <row r="633">
      <c r="A633" s="57"/>
    </row>
    <row r="634">
      <c r="A634" s="57"/>
    </row>
    <row r="635">
      <c r="A635" s="57"/>
    </row>
    <row r="636">
      <c r="A636" s="57"/>
    </row>
    <row r="637">
      <c r="A637" s="57"/>
    </row>
    <row r="638">
      <c r="A638" s="57"/>
    </row>
    <row r="639">
      <c r="A639" s="57"/>
    </row>
    <row r="640">
      <c r="A640" s="57"/>
    </row>
    <row r="641">
      <c r="A641" s="57"/>
    </row>
    <row r="642">
      <c r="A642" s="57"/>
    </row>
    <row r="643">
      <c r="A643" s="57"/>
    </row>
    <row r="644">
      <c r="A644" s="57"/>
    </row>
    <row r="645">
      <c r="A645" s="57"/>
    </row>
    <row r="646">
      <c r="A646" s="57"/>
    </row>
    <row r="647">
      <c r="A647" s="57"/>
    </row>
    <row r="648">
      <c r="A648" s="57"/>
    </row>
    <row r="649">
      <c r="A649" s="57"/>
    </row>
    <row r="650">
      <c r="A650" s="57"/>
    </row>
    <row r="651">
      <c r="A651" s="57"/>
    </row>
    <row r="652">
      <c r="A652" s="57"/>
    </row>
    <row r="653">
      <c r="A653" s="57"/>
    </row>
    <row r="654">
      <c r="A654" s="57"/>
    </row>
    <row r="655">
      <c r="A655" s="57"/>
    </row>
    <row r="656">
      <c r="A656" s="57"/>
    </row>
    <row r="657">
      <c r="A657" s="57"/>
    </row>
    <row r="658">
      <c r="A658" s="57"/>
    </row>
    <row r="659">
      <c r="A659" s="57"/>
    </row>
    <row r="660">
      <c r="A660" s="57"/>
    </row>
    <row r="661">
      <c r="A661" s="57"/>
    </row>
    <row r="662">
      <c r="A662" s="57"/>
    </row>
    <row r="663">
      <c r="A663" s="57"/>
    </row>
    <row r="664">
      <c r="A664" s="57"/>
    </row>
    <row r="665">
      <c r="A665" s="57"/>
    </row>
    <row r="666">
      <c r="A666" s="57"/>
    </row>
    <row r="667">
      <c r="A667" s="57"/>
    </row>
    <row r="668">
      <c r="A668" s="57"/>
    </row>
    <row r="669">
      <c r="A669" s="57"/>
    </row>
    <row r="670">
      <c r="A670" s="57"/>
    </row>
    <row r="671">
      <c r="A671" s="57"/>
    </row>
    <row r="672">
      <c r="A672" s="57"/>
    </row>
    <row r="673">
      <c r="A673" s="57"/>
    </row>
    <row r="674">
      <c r="A674" s="57"/>
    </row>
    <row r="675">
      <c r="A675" s="57"/>
    </row>
    <row r="676">
      <c r="A676" s="57"/>
    </row>
    <row r="677">
      <c r="A677" s="57"/>
    </row>
    <row r="678">
      <c r="A678" s="57"/>
    </row>
    <row r="679">
      <c r="A679" s="57"/>
    </row>
    <row r="680">
      <c r="A680" s="57"/>
    </row>
    <row r="681">
      <c r="A681" s="57"/>
    </row>
    <row r="682">
      <c r="A682" s="57"/>
    </row>
    <row r="683">
      <c r="A683" s="57"/>
    </row>
    <row r="684">
      <c r="A684" s="57"/>
    </row>
    <row r="685">
      <c r="A685" s="57"/>
    </row>
    <row r="686">
      <c r="A686" s="57"/>
    </row>
    <row r="687">
      <c r="A687" s="57"/>
    </row>
    <row r="688">
      <c r="A688" s="57"/>
    </row>
    <row r="689">
      <c r="A689" s="57"/>
    </row>
    <row r="690">
      <c r="A690" s="57"/>
    </row>
    <row r="691">
      <c r="A691" s="57"/>
    </row>
    <row r="692">
      <c r="A692" s="57"/>
    </row>
    <row r="693">
      <c r="A693" s="57"/>
    </row>
    <row r="694">
      <c r="A694" s="57"/>
    </row>
    <row r="695">
      <c r="A695" s="57"/>
    </row>
    <row r="696">
      <c r="A696" s="57"/>
    </row>
    <row r="697">
      <c r="A697" s="57"/>
    </row>
    <row r="698">
      <c r="A698" s="57"/>
    </row>
    <row r="699">
      <c r="A699" s="57"/>
    </row>
    <row r="700">
      <c r="A700" s="57"/>
    </row>
    <row r="701">
      <c r="A701" s="57"/>
    </row>
    <row r="702">
      <c r="A702" s="57"/>
    </row>
    <row r="703">
      <c r="A703" s="57"/>
    </row>
    <row r="704">
      <c r="A704" s="57"/>
    </row>
    <row r="705">
      <c r="A705" s="57"/>
    </row>
    <row r="706">
      <c r="A706" s="57"/>
    </row>
    <row r="707">
      <c r="A707" s="57"/>
    </row>
    <row r="708">
      <c r="A708" s="57"/>
    </row>
    <row r="709">
      <c r="A709" s="57"/>
    </row>
    <row r="710">
      <c r="A710" s="57"/>
    </row>
    <row r="711">
      <c r="A711" s="57"/>
    </row>
    <row r="712">
      <c r="A712" s="57"/>
    </row>
    <row r="713">
      <c r="A713" s="57"/>
    </row>
    <row r="714">
      <c r="A714" s="57"/>
    </row>
    <row r="715">
      <c r="A715" s="57"/>
    </row>
    <row r="716">
      <c r="A716" s="57"/>
    </row>
    <row r="717">
      <c r="A717" s="57"/>
    </row>
    <row r="718">
      <c r="A718" s="57"/>
    </row>
    <row r="719">
      <c r="A719" s="57"/>
    </row>
    <row r="720">
      <c r="A720" s="57"/>
    </row>
    <row r="721">
      <c r="A721" s="57"/>
    </row>
    <row r="722">
      <c r="A722" s="57"/>
    </row>
    <row r="723">
      <c r="A723" s="57"/>
    </row>
    <row r="724">
      <c r="A724" s="57"/>
    </row>
    <row r="725">
      <c r="A725" s="57"/>
    </row>
    <row r="726">
      <c r="A726" s="57"/>
    </row>
    <row r="727">
      <c r="A727" s="57"/>
    </row>
    <row r="728">
      <c r="A728" s="57"/>
    </row>
    <row r="729">
      <c r="A729" s="57"/>
    </row>
    <row r="730">
      <c r="A730" s="57"/>
    </row>
    <row r="731">
      <c r="A731" s="57"/>
    </row>
    <row r="732">
      <c r="A732" s="57"/>
    </row>
    <row r="733">
      <c r="A733" s="57"/>
    </row>
    <row r="734">
      <c r="A734" s="57"/>
    </row>
    <row r="735">
      <c r="A735" s="57"/>
    </row>
    <row r="736">
      <c r="A736" s="57"/>
    </row>
    <row r="737">
      <c r="A737" s="57"/>
    </row>
    <row r="738">
      <c r="A738" s="57"/>
    </row>
    <row r="739">
      <c r="A739" s="57"/>
    </row>
    <row r="740">
      <c r="A740" s="57"/>
    </row>
    <row r="741">
      <c r="A741" s="57"/>
    </row>
    <row r="742">
      <c r="A742" s="57"/>
    </row>
    <row r="743">
      <c r="A743" s="57"/>
    </row>
    <row r="744">
      <c r="A744" s="57"/>
    </row>
    <row r="745">
      <c r="A745" s="57"/>
    </row>
    <row r="746">
      <c r="A746" s="57"/>
    </row>
    <row r="747">
      <c r="A747" s="57"/>
    </row>
    <row r="748">
      <c r="A748" s="57"/>
    </row>
    <row r="749">
      <c r="A749" s="57"/>
    </row>
    <row r="750">
      <c r="A750" s="57"/>
    </row>
    <row r="751">
      <c r="A751" s="57"/>
    </row>
    <row r="752">
      <c r="A752" s="57"/>
    </row>
    <row r="753">
      <c r="A753" s="57"/>
    </row>
    <row r="754">
      <c r="A754" s="57"/>
    </row>
    <row r="755">
      <c r="A755" s="57"/>
    </row>
    <row r="756">
      <c r="A756" s="57"/>
    </row>
    <row r="757">
      <c r="A757" s="57"/>
    </row>
    <row r="758">
      <c r="A758" s="57"/>
    </row>
    <row r="759">
      <c r="A759" s="57"/>
    </row>
    <row r="760">
      <c r="A760" s="57"/>
    </row>
    <row r="761">
      <c r="A761" s="57"/>
    </row>
    <row r="762">
      <c r="A762" s="57"/>
    </row>
    <row r="763">
      <c r="A763" s="57"/>
    </row>
    <row r="764">
      <c r="A764" s="57"/>
    </row>
    <row r="765">
      <c r="A765" s="57"/>
    </row>
    <row r="766">
      <c r="A766" s="57"/>
    </row>
    <row r="767">
      <c r="A767" s="57"/>
    </row>
    <row r="768">
      <c r="A768" s="57"/>
    </row>
    <row r="769">
      <c r="A769" s="57"/>
    </row>
    <row r="770">
      <c r="A770" s="57"/>
    </row>
    <row r="771">
      <c r="A771" s="57"/>
    </row>
    <row r="772">
      <c r="A772" s="57"/>
    </row>
    <row r="773">
      <c r="A773" s="57"/>
    </row>
    <row r="774">
      <c r="A774" s="57"/>
    </row>
    <row r="775">
      <c r="A775" s="57"/>
    </row>
    <row r="776">
      <c r="A776" s="57"/>
    </row>
    <row r="777">
      <c r="A777" s="57"/>
    </row>
    <row r="778">
      <c r="A778" s="57"/>
    </row>
    <row r="779">
      <c r="A779" s="57"/>
    </row>
    <row r="780">
      <c r="A780" s="57"/>
    </row>
    <row r="781">
      <c r="A781" s="57"/>
    </row>
    <row r="782">
      <c r="A782" s="57"/>
    </row>
    <row r="783">
      <c r="A783" s="57"/>
    </row>
    <row r="784">
      <c r="A784" s="57"/>
    </row>
    <row r="785">
      <c r="A785" s="57"/>
    </row>
    <row r="786">
      <c r="A786" s="57"/>
    </row>
    <row r="787">
      <c r="A787" s="57"/>
    </row>
    <row r="788">
      <c r="A788" s="57"/>
    </row>
    <row r="789">
      <c r="A789" s="57"/>
    </row>
    <row r="790">
      <c r="A790" s="57"/>
    </row>
    <row r="791">
      <c r="A791" s="57"/>
    </row>
    <row r="792">
      <c r="A792" s="57"/>
    </row>
    <row r="793">
      <c r="A793" s="57"/>
    </row>
    <row r="794">
      <c r="A794" s="57"/>
    </row>
    <row r="795">
      <c r="A795" s="57"/>
    </row>
    <row r="796">
      <c r="A796" s="57"/>
    </row>
    <row r="797">
      <c r="A797" s="57"/>
    </row>
    <row r="798">
      <c r="A798" s="57"/>
    </row>
    <row r="799">
      <c r="A799" s="57"/>
    </row>
    <row r="800">
      <c r="A800" s="57"/>
    </row>
    <row r="801">
      <c r="A801" s="57"/>
    </row>
    <row r="802">
      <c r="A802" s="57"/>
    </row>
    <row r="803">
      <c r="A803" s="57"/>
    </row>
    <row r="804">
      <c r="A804" s="57"/>
    </row>
    <row r="805">
      <c r="A805" s="57"/>
    </row>
    <row r="806">
      <c r="A806" s="57"/>
    </row>
    <row r="807">
      <c r="A807" s="57"/>
    </row>
    <row r="808">
      <c r="A808" s="57"/>
    </row>
    <row r="809">
      <c r="A809" s="57"/>
    </row>
    <row r="810">
      <c r="A810" s="57"/>
    </row>
    <row r="811">
      <c r="A811" s="57"/>
    </row>
    <row r="812">
      <c r="A812" s="57"/>
    </row>
    <row r="813">
      <c r="A813" s="57"/>
    </row>
    <row r="814">
      <c r="A814" s="57"/>
    </row>
    <row r="815">
      <c r="A815" s="57"/>
    </row>
    <row r="816">
      <c r="A816" s="57"/>
    </row>
    <row r="817">
      <c r="A817" s="57"/>
    </row>
    <row r="818">
      <c r="A818" s="57"/>
    </row>
    <row r="819">
      <c r="A819" s="57"/>
    </row>
    <row r="820">
      <c r="A820" s="57"/>
    </row>
    <row r="821">
      <c r="A821" s="57"/>
    </row>
    <row r="822">
      <c r="A822" s="57"/>
    </row>
    <row r="823">
      <c r="A823" s="57"/>
    </row>
    <row r="824">
      <c r="A824" s="57"/>
    </row>
    <row r="825">
      <c r="A825" s="57"/>
    </row>
    <row r="826">
      <c r="A826" s="57"/>
    </row>
    <row r="827">
      <c r="A827" s="57"/>
    </row>
    <row r="828">
      <c r="A828" s="57"/>
    </row>
    <row r="829">
      <c r="A829" s="57"/>
    </row>
    <row r="830">
      <c r="A830" s="57"/>
    </row>
    <row r="831">
      <c r="A831" s="57"/>
    </row>
    <row r="832">
      <c r="A832" s="57"/>
    </row>
    <row r="833">
      <c r="A833" s="57"/>
    </row>
    <row r="834">
      <c r="A834" s="57"/>
    </row>
    <row r="835">
      <c r="A835" s="57"/>
    </row>
    <row r="836">
      <c r="A836" s="57"/>
    </row>
    <row r="837">
      <c r="A837" s="57"/>
    </row>
    <row r="838">
      <c r="A838" s="57"/>
    </row>
    <row r="839">
      <c r="A839" s="57"/>
    </row>
    <row r="840">
      <c r="A840" s="57"/>
    </row>
    <row r="841">
      <c r="A841" s="57"/>
    </row>
    <row r="842">
      <c r="A842" s="57"/>
    </row>
    <row r="843">
      <c r="A843" s="57"/>
    </row>
    <row r="844">
      <c r="A844" s="57"/>
    </row>
    <row r="845">
      <c r="A845" s="57"/>
    </row>
    <row r="846">
      <c r="A846" s="57"/>
    </row>
    <row r="847">
      <c r="A847" s="57"/>
    </row>
    <row r="848">
      <c r="A848" s="57"/>
    </row>
    <row r="849">
      <c r="A849" s="57"/>
    </row>
    <row r="850">
      <c r="A850" s="57"/>
    </row>
    <row r="851">
      <c r="A851" s="57"/>
    </row>
    <row r="852">
      <c r="A852" s="57"/>
    </row>
    <row r="853">
      <c r="A853" s="57"/>
    </row>
    <row r="854">
      <c r="A854" s="57"/>
    </row>
    <row r="855">
      <c r="A855" s="57"/>
    </row>
    <row r="856">
      <c r="A856" s="57"/>
    </row>
    <row r="857">
      <c r="A857" s="57"/>
    </row>
    <row r="858">
      <c r="A858" s="57"/>
    </row>
    <row r="859">
      <c r="A859" s="57"/>
    </row>
    <row r="860">
      <c r="A860" s="57"/>
    </row>
    <row r="861">
      <c r="A861" s="57"/>
    </row>
    <row r="862">
      <c r="A862" s="57"/>
    </row>
    <row r="863">
      <c r="A863" s="57"/>
    </row>
    <row r="864">
      <c r="A864" s="57"/>
    </row>
    <row r="865">
      <c r="A865" s="57"/>
    </row>
    <row r="866">
      <c r="A866" s="57"/>
    </row>
    <row r="867">
      <c r="A867" s="57"/>
    </row>
    <row r="868">
      <c r="A868" s="57"/>
    </row>
    <row r="869">
      <c r="A869" s="57"/>
    </row>
    <row r="870">
      <c r="A870" s="57"/>
    </row>
    <row r="871">
      <c r="A871" s="57"/>
    </row>
    <row r="872">
      <c r="A872" s="57"/>
    </row>
    <row r="873">
      <c r="A873" s="57"/>
    </row>
    <row r="874">
      <c r="A874" s="57"/>
    </row>
    <row r="875">
      <c r="A875" s="57"/>
    </row>
    <row r="876">
      <c r="A876" s="57"/>
    </row>
    <row r="877">
      <c r="A877" s="57"/>
    </row>
    <row r="878">
      <c r="A878" s="57"/>
    </row>
    <row r="879">
      <c r="A879" s="57"/>
    </row>
    <row r="880">
      <c r="A880" s="57"/>
    </row>
    <row r="881">
      <c r="A881" s="57"/>
    </row>
    <row r="882">
      <c r="A882" s="57"/>
    </row>
    <row r="883">
      <c r="A883" s="57"/>
    </row>
    <row r="884">
      <c r="A884" s="57"/>
    </row>
    <row r="885">
      <c r="A885" s="57"/>
    </row>
    <row r="886">
      <c r="A886" s="57"/>
    </row>
    <row r="887">
      <c r="A887" s="57"/>
    </row>
    <row r="888">
      <c r="A888" s="57"/>
    </row>
    <row r="889">
      <c r="A889" s="57"/>
    </row>
    <row r="890">
      <c r="A890" s="57"/>
    </row>
    <row r="891">
      <c r="A891" s="57"/>
    </row>
    <row r="892">
      <c r="A892" s="57"/>
    </row>
    <row r="893">
      <c r="A893" s="57"/>
    </row>
    <row r="894">
      <c r="A894" s="57"/>
    </row>
    <row r="895">
      <c r="A895" s="57"/>
    </row>
    <row r="896">
      <c r="A896" s="57"/>
    </row>
    <row r="897">
      <c r="A897" s="57"/>
    </row>
    <row r="898">
      <c r="A898" s="57"/>
    </row>
    <row r="899">
      <c r="A899" s="57"/>
    </row>
    <row r="900">
      <c r="A900" s="57"/>
    </row>
    <row r="901">
      <c r="A901" s="57"/>
    </row>
    <row r="902">
      <c r="A902" s="57"/>
    </row>
    <row r="903">
      <c r="A903" s="57"/>
    </row>
    <row r="904">
      <c r="A904" s="57"/>
    </row>
    <row r="905">
      <c r="A905" s="57"/>
    </row>
    <row r="906">
      <c r="A906" s="57"/>
    </row>
    <row r="907">
      <c r="A907" s="57"/>
    </row>
    <row r="908">
      <c r="A908" s="57"/>
    </row>
    <row r="909">
      <c r="A909" s="57"/>
    </row>
    <row r="910">
      <c r="A910" s="57"/>
    </row>
    <row r="911">
      <c r="A911" s="57"/>
    </row>
    <row r="912">
      <c r="A912" s="57"/>
    </row>
    <row r="913">
      <c r="A913" s="57"/>
    </row>
    <row r="914">
      <c r="A914" s="57"/>
    </row>
    <row r="915">
      <c r="A915" s="57"/>
    </row>
    <row r="916">
      <c r="A916" s="57"/>
    </row>
    <row r="917">
      <c r="A917" s="57"/>
    </row>
    <row r="918">
      <c r="A918" s="57"/>
    </row>
    <row r="919">
      <c r="A919" s="57"/>
    </row>
    <row r="920">
      <c r="A920" s="57"/>
    </row>
    <row r="921">
      <c r="A921" s="57"/>
    </row>
    <row r="922">
      <c r="A922" s="57"/>
    </row>
    <row r="923">
      <c r="A923" s="57"/>
    </row>
    <row r="924">
      <c r="A924" s="57"/>
    </row>
    <row r="925">
      <c r="A925" s="57"/>
    </row>
    <row r="926">
      <c r="A926" s="57"/>
    </row>
    <row r="927">
      <c r="A927" s="57"/>
    </row>
    <row r="928">
      <c r="A928" s="57"/>
    </row>
    <row r="929">
      <c r="A929" s="57"/>
    </row>
    <row r="930">
      <c r="A930" s="57"/>
    </row>
    <row r="931">
      <c r="A931" s="57"/>
    </row>
    <row r="932">
      <c r="A932" s="57"/>
    </row>
    <row r="933">
      <c r="A933" s="57"/>
    </row>
    <row r="934">
      <c r="A934" s="57"/>
    </row>
    <row r="935">
      <c r="A935" s="57"/>
    </row>
    <row r="936">
      <c r="A936" s="57"/>
    </row>
    <row r="937">
      <c r="A937" s="57"/>
    </row>
    <row r="938">
      <c r="A938" s="57"/>
    </row>
    <row r="939">
      <c r="A939" s="57"/>
    </row>
    <row r="940">
      <c r="A940" s="57"/>
    </row>
    <row r="941">
      <c r="A941" s="57"/>
    </row>
    <row r="942">
      <c r="A942" s="57"/>
    </row>
    <row r="943">
      <c r="A943" s="57"/>
    </row>
    <row r="944">
      <c r="A944" s="57"/>
    </row>
    <row r="945">
      <c r="A945" s="57"/>
    </row>
    <row r="946">
      <c r="A946" s="57"/>
    </row>
    <row r="947">
      <c r="A947" s="57"/>
    </row>
    <row r="948">
      <c r="A948" s="57"/>
    </row>
    <row r="949">
      <c r="A949" s="57"/>
    </row>
    <row r="950">
      <c r="A950" s="57"/>
    </row>
    <row r="951">
      <c r="A951" s="57"/>
    </row>
    <row r="952">
      <c r="A952" s="57"/>
    </row>
    <row r="953">
      <c r="A953" s="57"/>
    </row>
    <row r="954">
      <c r="A954" s="57"/>
    </row>
    <row r="955">
      <c r="A955" s="57"/>
    </row>
    <row r="956">
      <c r="A956" s="57"/>
    </row>
    <row r="957">
      <c r="A957" s="57"/>
    </row>
    <row r="958">
      <c r="A958" s="57"/>
    </row>
    <row r="959">
      <c r="A959" s="57"/>
    </row>
    <row r="960">
      <c r="A960" s="57"/>
    </row>
    <row r="961">
      <c r="A961" s="57"/>
    </row>
    <row r="962">
      <c r="A962" s="57"/>
    </row>
    <row r="963">
      <c r="A963" s="57"/>
    </row>
    <row r="964">
      <c r="A964" s="57"/>
    </row>
    <row r="965">
      <c r="A965" s="57"/>
    </row>
    <row r="966">
      <c r="A966" s="57"/>
    </row>
    <row r="967">
      <c r="A967" s="57"/>
    </row>
    <row r="968">
      <c r="A968" s="57"/>
    </row>
    <row r="969">
      <c r="A969" s="57"/>
    </row>
    <row r="970">
      <c r="A970" s="57"/>
    </row>
    <row r="971">
      <c r="A971" s="57"/>
    </row>
    <row r="972">
      <c r="A972" s="57"/>
    </row>
    <row r="973">
      <c r="A973" s="57"/>
    </row>
    <row r="974">
      <c r="A974" s="57"/>
    </row>
    <row r="975">
      <c r="A975" s="57"/>
    </row>
    <row r="976">
      <c r="A976" s="57"/>
    </row>
    <row r="977">
      <c r="A977" s="57"/>
    </row>
    <row r="978">
      <c r="A978" s="57"/>
    </row>
    <row r="979">
      <c r="A979" s="57"/>
    </row>
    <row r="980">
      <c r="A980" s="57"/>
    </row>
    <row r="981">
      <c r="A981" s="57"/>
    </row>
    <row r="982">
      <c r="A982" s="57"/>
    </row>
    <row r="983">
      <c r="A983" s="57"/>
    </row>
    <row r="984">
      <c r="A984" s="57"/>
    </row>
    <row r="985">
      <c r="A985" s="57"/>
    </row>
    <row r="986">
      <c r="A986" s="57"/>
    </row>
    <row r="987">
      <c r="A987" s="57"/>
    </row>
    <row r="988">
      <c r="A988" s="57"/>
    </row>
    <row r="989">
      <c r="A989" s="57"/>
    </row>
    <row r="990">
      <c r="A990" s="57"/>
    </row>
    <row r="991">
      <c r="A991" s="57"/>
    </row>
    <row r="992">
      <c r="A992" s="57"/>
    </row>
    <row r="993">
      <c r="A993" s="57"/>
    </row>
    <row r="994">
      <c r="A994" s="57"/>
    </row>
    <row r="995">
      <c r="A995" s="57"/>
    </row>
    <row r="996">
      <c r="A996" s="57"/>
    </row>
    <row r="997">
      <c r="A997" s="57"/>
    </row>
    <row r="998">
      <c r="A998" s="57"/>
    </row>
    <row r="999">
      <c r="A999" s="57"/>
    </row>
    <row r="1000">
      <c r="A1000" s="57"/>
    </row>
    <row r="1001">
      <c r="A1001" s="57"/>
    </row>
    <row r="1002">
      <c r="A1002" s="57"/>
    </row>
    <row r="1003">
      <c r="A1003" s="57"/>
    </row>
    <row r="1004">
      <c r="A1004" s="57"/>
    </row>
    <row r="1005">
      <c r="A1005" s="57"/>
    </row>
    <row r="1006">
      <c r="A1006" s="57"/>
    </row>
    <row r="1007">
      <c r="A1007" s="57"/>
    </row>
    <row r="1008">
      <c r="A1008" s="57"/>
    </row>
    <row r="1009">
      <c r="A1009" s="57"/>
    </row>
    <row r="1010">
      <c r="A1010" s="57"/>
    </row>
    <row r="1011">
      <c r="A1011" s="57"/>
    </row>
    <row r="1012">
      <c r="A1012" s="57"/>
    </row>
    <row r="1013">
      <c r="A1013" s="57"/>
    </row>
    <row r="1014">
      <c r="A1014" s="57"/>
    </row>
    <row r="1015">
      <c r="A1015" s="57"/>
    </row>
    <row r="1016">
      <c r="A1016" s="57"/>
    </row>
  </sheetData>
  <customSheetViews>
    <customSheetView guid="{436CEF3F-31B7-4946-85A9-18923BA45D49}" filter="1" showAutoFilter="1">
      <autoFilter ref="$A$2:$E$62"/>
    </customSheetView>
  </customSheetViews>
  <dataValidations>
    <dataValidation type="list" allowBlank="1" sqref="D3:D62">
      <formula1>"None,Angela,Camila,Elena,Julieta,Luna,Valéria,Marisol,Noélia"</formula1>
    </dataValidation>
    <dataValidation type="list" allowBlank="1" sqref="E3:E62">
      <formula1>"None,Basti,Esteban,Mateo,Diego,Carlos,Luís,Joaquín,René"</formula1>
    </dataValidation>
    <dataValidation type="list" allowBlank="1" sqref="A3:A62">
      <formula1>#REF!</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8.63"/>
    <col customWidth="1" min="3" max="3" width="43.0"/>
    <col customWidth="1" min="4" max="4" width="46.63"/>
    <col customWidth="1" min="5" max="5" width="40.5"/>
    <col customWidth="1" min="6" max="6" width="34.75"/>
    <col customWidth="1" min="7" max="7" width="19.0"/>
    <col customWidth="1" min="8" max="8" width="5.63"/>
    <col customWidth="1" min="9" max="9" width="31.25"/>
    <col customWidth="1" min="10" max="10" width="6.0"/>
    <col customWidth="1" min="11" max="11" width="23.13"/>
    <col customWidth="1" min="12" max="12" width="5.88"/>
    <col customWidth="1" min="13" max="13" width="30.63"/>
    <col customWidth="1" min="14" max="14" width="5.63"/>
    <col customWidth="1" min="15" max="15" width="44.0"/>
    <col customWidth="1" min="16" max="16" width="6.0"/>
    <col customWidth="1" min="17" max="17" width="17.0"/>
    <col customWidth="1" min="18" max="18" width="4.5"/>
    <col customWidth="1" min="19" max="19" width="34.0"/>
    <col customWidth="1" min="20" max="20" width="17.63"/>
    <col customWidth="1" min="21" max="21" width="24.63"/>
    <col customWidth="1" min="22" max="22" width="4.88"/>
    <col customWidth="1" min="23" max="23" width="28.88"/>
    <col customWidth="1" min="24" max="24" width="17.88"/>
    <col customWidth="1" min="25" max="25" width="34.75"/>
    <col customWidth="1" min="26" max="26" width="4.5"/>
    <col customWidth="1" min="27" max="27" width="19.0"/>
    <col customWidth="1" min="28" max="28" width="5.63"/>
    <col customWidth="1" min="29" max="29" width="31.25"/>
    <col customWidth="1" min="30" max="30" width="6.0"/>
    <col customWidth="1" min="31" max="31" width="23.13"/>
    <col customWidth="1" min="32" max="32" width="5.88"/>
    <col customWidth="1" min="33" max="33" width="30.63"/>
  </cols>
  <sheetData>
    <row r="1">
      <c r="A1" s="58"/>
      <c r="B1" s="58"/>
      <c r="C1" s="58"/>
      <c r="D1" s="58"/>
      <c r="E1" s="58"/>
      <c r="F1" s="59"/>
      <c r="G1" s="59"/>
      <c r="H1" s="59"/>
      <c r="I1" s="59"/>
      <c r="J1" s="59"/>
      <c r="K1" s="59"/>
      <c r="L1" s="59"/>
      <c r="M1" s="59"/>
      <c r="N1" s="59"/>
      <c r="O1" s="58"/>
      <c r="P1" s="58"/>
      <c r="Q1" s="58"/>
      <c r="R1" s="58"/>
      <c r="S1" s="58"/>
      <c r="T1" s="58"/>
      <c r="U1" s="58"/>
      <c r="V1" s="58"/>
      <c r="W1" s="58"/>
      <c r="X1" s="59"/>
      <c r="Y1" s="59"/>
      <c r="Z1" s="59"/>
      <c r="AA1" s="59"/>
      <c r="AB1" s="59"/>
      <c r="AC1" s="59"/>
      <c r="AD1" s="59"/>
      <c r="AE1" s="59"/>
      <c r="AF1" s="59"/>
      <c r="AG1" s="59"/>
    </row>
    <row r="2">
      <c r="A2" s="60" t="s">
        <v>1324</v>
      </c>
      <c r="B2" s="61"/>
      <c r="C2" s="61"/>
      <c r="D2" s="61"/>
      <c r="E2" s="61"/>
      <c r="F2" s="62"/>
      <c r="G2" s="59"/>
      <c r="H2" s="59"/>
      <c r="I2" s="59"/>
      <c r="J2" s="59"/>
      <c r="K2" s="59"/>
      <c r="L2" s="59"/>
      <c r="M2" s="59"/>
      <c r="N2" s="59"/>
      <c r="O2" s="63"/>
      <c r="X2" s="59"/>
      <c r="Y2" s="59"/>
      <c r="Z2" s="59"/>
      <c r="AA2" s="59"/>
      <c r="AB2" s="59"/>
      <c r="AC2" s="59"/>
      <c r="AD2" s="59"/>
      <c r="AE2" s="59"/>
      <c r="AF2" s="59"/>
      <c r="AG2" s="59"/>
    </row>
    <row r="3">
      <c r="A3" s="64" t="s">
        <v>1325</v>
      </c>
      <c r="B3" s="61"/>
      <c r="C3" s="61"/>
      <c r="D3" s="61"/>
      <c r="E3" s="61"/>
      <c r="F3" s="62"/>
      <c r="G3" s="59"/>
      <c r="H3" s="59"/>
      <c r="I3" s="59"/>
      <c r="J3" s="59"/>
      <c r="K3" s="59"/>
      <c r="L3" s="59"/>
      <c r="M3" s="59"/>
      <c r="N3" s="59"/>
      <c r="O3" s="65"/>
      <c r="X3" s="59"/>
      <c r="Y3" s="59"/>
      <c r="Z3" s="59"/>
      <c r="AA3" s="59"/>
      <c r="AB3" s="59"/>
      <c r="AC3" s="59"/>
      <c r="AD3" s="59"/>
      <c r="AE3" s="59"/>
      <c r="AF3" s="59"/>
      <c r="AG3" s="59"/>
    </row>
    <row r="4" ht="59.25" customHeight="1">
      <c r="A4" s="66" t="s">
        <v>1073</v>
      </c>
      <c r="G4" s="59"/>
      <c r="H4" s="59"/>
      <c r="I4" s="59"/>
      <c r="J4" s="59"/>
      <c r="K4" s="59"/>
      <c r="L4" s="59"/>
      <c r="M4" s="59"/>
      <c r="N4" s="59"/>
      <c r="O4" s="66"/>
      <c r="X4" s="59"/>
      <c r="Y4" s="59"/>
      <c r="Z4" s="59"/>
      <c r="AA4" s="59"/>
      <c r="AB4" s="59"/>
      <c r="AC4" s="59"/>
      <c r="AD4" s="59"/>
      <c r="AE4" s="59"/>
      <c r="AF4" s="59"/>
      <c r="AG4" s="59"/>
    </row>
    <row r="5">
      <c r="A5" s="67" t="s">
        <v>1326</v>
      </c>
      <c r="B5" s="61"/>
      <c r="C5" s="61"/>
      <c r="D5" s="61"/>
      <c r="E5" s="61"/>
      <c r="F5" s="62"/>
      <c r="G5" s="70"/>
      <c r="H5" s="70"/>
      <c r="I5" s="70"/>
      <c r="J5" s="70"/>
      <c r="K5" s="70"/>
      <c r="L5" s="70"/>
      <c r="M5" s="70"/>
      <c r="N5" s="70"/>
      <c r="O5" s="71"/>
      <c r="P5" s="71"/>
      <c r="Q5" s="71"/>
      <c r="R5" s="71"/>
      <c r="S5" s="71"/>
      <c r="T5" s="71"/>
      <c r="U5" s="71"/>
      <c r="V5" s="71"/>
      <c r="W5" s="71"/>
      <c r="X5" s="70"/>
      <c r="Y5" s="70"/>
      <c r="Z5" s="70"/>
      <c r="AA5" s="70"/>
      <c r="AB5" s="70"/>
      <c r="AC5" s="70"/>
      <c r="AD5" s="70"/>
      <c r="AE5" s="70"/>
      <c r="AF5" s="70"/>
      <c r="AG5" s="70"/>
    </row>
    <row r="6">
      <c r="A6" s="72" t="s">
        <v>1327</v>
      </c>
      <c r="B6" s="61"/>
      <c r="C6" s="61"/>
      <c r="D6" s="61"/>
      <c r="E6" s="61"/>
      <c r="F6" s="62"/>
      <c r="G6" s="70"/>
      <c r="H6" s="70"/>
      <c r="I6" s="70"/>
      <c r="J6" s="70"/>
      <c r="K6" s="70"/>
      <c r="L6" s="70"/>
      <c r="M6" s="70"/>
      <c r="N6" s="70"/>
      <c r="O6" s="71"/>
      <c r="P6" s="71"/>
      <c r="Q6" s="71"/>
      <c r="R6" s="71"/>
      <c r="S6" s="71"/>
      <c r="T6" s="71"/>
      <c r="U6" s="71"/>
      <c r="V6" s="71"/>
      <c r="W6" s="71"/>
      <c r="X6" s="70"/>
      <c r="Y6" s="70"/>
      <c r="Z6" s="70"/>
      <c r="AA6" s="70"/>
      <c r="AB6" s="70"/>
      <c r="AC6" s="70"/>
      <c r="AD6" s="70"/>
      <c r="AE6" s="70"/>
      <c r="AF6" s="70"/>
      <c r="AG6" s="70"/>
    </row>
    <row r="7">
      <c r="A7" s="73" t="s">
        <v>1013</v>
      </c>
      <c r="B7" s="61"/>
      <c r="C7" s="61"/>
      <c r="D7" s="61"/>
      <c r="E7" s="61"/>
      <c r="F7" s="62"/>
      <c r="G7" s="70"/>
      <c r="H7" s="70"/>
      <c r="I7" s="70"/>
      <c r="J7" s="70"/>
      <c r="K7" s="70"/>
      <c r="L7" s="70"/>
      <c r="M7" s="70"/>
      <c r="N7" s="70"/>
      <c r="O7" s="71"/>
      <c r="P7" s="71"/>
      <c r="Q7" s="71"/>
      <c r="R7" s="71"/>
      <c r="S7" s="71"/>
      <c r="T7" s="71"/>
      <c r="U7" s="71"/>
      <c r="V7" s="71"/>
      <c r="W7" s="71"/>
      <c r="X7" s="70"/>
      <c r="Y7" s="70"/>
      <c r="Z7" s="70"/>
      <c r="AA7" s="70"/>
      <c r="AB7" s="70"/>
      <c r="AC7" s="70"/>
      <c r="AD7" s="70"/>
      <c r="AE7" s="70"/>
      <c r="AF7" s="70"/>
      <c r="AG7" s="70"/>
    </row>
    <row r="8">
      <c r="A8" s="74" t="s">
        <v>1014</v>
      </c>
      <c r="B8" s="62"/>
      <c r="C8" s="74" t="s">
        <v>1015</v>
      </c>
      <c r="D8" s="75" t="s">
        <v>1016</v>
      </c>
      <c r="E8" s="76" t="s">
        <v>1017</v>
      </c>
      <c r="F8" s="77" t="s">
        <v>1018</v>
      </c>
      <c r="G8" s="70"/>
      <c r="H8" s="70"/>
      <c r="I8" s="70"/>
      <c r="J8" s="70"/>
      <c r="K8" s="70"/>
      <c r="L8" s="70"/>
      <c r="M8" s="70"/>
      <c r="N8" s="70"/>
      <c r="O8" s="71"/>
      <c r="P8" s="71"/>
      <c r="Q8" s="71"/>
      <c r="R8" s="71"/>
      <c r="S8" s="71"/>
      <c r="T8" s="71"/>
      <c r="U8" s="71"/>
      <c r="V8" s="71"/>
      <c r="W8" s="71"/>
      <c r="X8" s="70"/>
      <c r="Y8" s="70"/>
      <c r="Z8" s="70"/>
      <c r="AA8" s="70"/>
      <c r="AB8" s="70"/>
      <c r="AC8" s="70"/>
      <c r="AD8" s="70"/>
      <c r="AE8" s="70"/>
      <c r="AF8" s="70"/>
      <c r="AG8" s="70"/>
    </row>
    <row r="9">
      <c r="A9" s="72" t="s">
        <v>1076</v>
      </c>
      <c r="B9" s="62"/>
      <c r="C9" s="78" t="s">
        <v>1077</v>
      </c>
      <c r="D9" s="94" t="s">
        <v>1078</v>
      </c>
      <c r="E9" s="80" t="s">
        <v>1079</v>
      </c>
      <c r="F9" s="80" t="s">
        <v>1080</v>
      </c>
      <c r="G9" s="70"/>
      <c r="H9" s="70"/>
      <c r="I9" s="70"/>
      <c r="J9" s="70"/>
      <c r="K9" s="70"/>
      <c r="L9" s="70"/>
      <c r="M9" s="70"/>
      <c r="N9" s="70"/>
      <c r="O9" s="71"/>
      <c r="P9" s="71"/>
      <c r="Q9" s="71"/>
      <c r="R9" s="71"/>
      <c r="S9" s="71"/>
      <c r="T9" s="71"/>
      <c r="U9" s="71"/>
      <c r="V9" s="71"/>
      <c r="W9" s="71"/>
      <c r="X9" s="70"/>
      <c r="Y9" s="70"/>
      <c r="Z9" s="70"/>
      <c r="AA9" s="70"/>
      <c r="AB9" s="70"/>
      <c r="AC9" s="70"/>
      <c r="AD9" s="70"/>
      <c r="AE9" s="70"/>
      <c r="AF9" s="70"/>
      <c r="AG9" s="70"/>
    </row>
    <row r="10">
      <c r="A10" s="74" t="s">
        <v>1024</v>
      </c>
      <c r="B10" s="62"/>
      <c r="C10" s="74" t="s">
        <v>1025</v>
      </c>
      <c r="D10" s="76" t="s">
        <v>691</v>
      </c>
      <c r="E10" s="75" t="s">
        <v>1026</v>
      </c>
      <c r="F10" s="81" t="s">
        <v>1328</v>
      </c>
      <c r="G10" s="70"/>
      <c r="H10" s="70"/>
      <c r="I10" s="70"/>
      <c r="J10" s="70"/>
      <c r="K10" s="70"/>
      <c r="L10" s="70"/>
      <c r="M10" s="70"/>
      <c r="N10" s="70"/>
      <c r="O10" s="71"/>
      <c r="P10" s="71"/>
      <c r="Q10" s="71"/>
      <c r="R10" s="71"/>
      <c r="S10" s="71"/>
      <c r="T10" s="71"/>
      <c r="U10" s="71"/>
      <c r="V10" s="71"/>
      <c r="W10" s="71"/>
      <c r="X10" s="70"/>
      <c r="Y10" s="70"/>
      <c r="Z10" s="70"/>
      <c r="AA10" s="70"/>
      <c r="AB10" s="70"/>
      <c r="AC10" s="70"/>
      <c r="AD10" s="70"/>
      <c r="AE10" s="70"/>
      <c r="AF10" s="70"/>
      <c r="AG10" s="70"/>
    </row>
    <row r="11">
      <c r="A11" s="64" t="s">
        <v>1082</v>
      </c>
      <c r="B11" s="62"/>
      <c r="C11" s="82" t="s">
        <v>1083</v>
      </c>
      <c r="D11" s="80" t="s">
        <v>1084</v>
      </c>
      <c r="E11" s="80" t="s">
        <v>1085</v>
      </c>
      <c r="F11" s="80" t="s">
        <v>1082</v>
      </c>
      <c r="G11" s="70"/>
      <c r="H11" s="70"/>
      <c r="I11" s="70"/>
      <c r="J11" s="70"/>
      <c r="K11" s="70"/>
      <c r="L11" s="70"/>
      <c r="M11" s="70"/>
      <c r="N11" s="70"/>
      <c r="O11" s="71"/>
      <c r="P11" s="71"/>
      <c r="Q11" s="71"/>
      <c r="R11" s="71"/>
      <c r="S11" s="71"/>
      <c r="T11" s="71"/>
      <c r="U11" s="71"/>
      <c r="V11" s="71"/>
      <c r="W11" s="71"/>
      <c r="X11" s="70"/>
      <c r="Y11" s="70"/>
      <c r="Z11" s="70"/>
      <c r="AA11" s="70"/>
      <c r="AB11" s="70"/>
      <c r="AC11" s="70"/>
      <c r="AD11" s="70"/>
      <c r="AE11" s="70"/>
      <c r="AF11" s="70"/>
      <c r="AG11" s="70"/>
    </row>
    <row r="12">
      <c r="A12" s="83" t="s">
        <v>1032</v>
      </c>
      <c r="B12" s="83" t="s">
        <v>1033</v>
      </c>
      <c r="C12" s="83" t="s">
        <v>1034</v>
      </c>
      <c r="D12" s="83" t="s">
        <v>1035</v>
      </c>
      <c r="E12" s="67" t="s">
        <v>1036</v>
      </c>
      <c r="F12" s="62"/>
      <c r="G12" s="70"/>
      <c r="H12" s="70"/>
      <c r="I12" s="70"/>
      <c r="J12" s="70"/>
      <c r="K12" s="70"/>
      <c r="L12" s="70"/>
      <c r="M12" s="70"/>
      <c r="N12" s="70"/>
      <c r="O12" s="71"/>
      <c r="P12" s="71"/>
      <c r="Q12" s="71"/>
      <c r="R12" s="71"/>
      <c r="S12" s="71"/>
      <c r="T12" s="71"/>
      <c r="U12" s="71"/>
      <c r="V12" s="71"/>
      <c r="W12" s="71"/>
      <c r="X12" s="70"/>
      <c r="Y12" s="70"/>
      <c r="Z12" s="70"/>
      <c r="AA12" s="70"/>
      <c r="AB12" s="70"/>
      <c r="AC12" s="70"/>
      <c r="AD12" s="70"/>
      <c r="AE12" s="70"/>
      <c r="AF12" s="70"/>
      <c r="AG12" s="70"/>
    </row>
    <row r="13">
      <c r="A13" s="84" t="str">
        <f>'Chapter Status'!C16</f>
        <v>Warm-up</v>
      </c>
      <c r="B13" s="88" t="s">
        <v>1329</v>
      </c>
      <c r="C13" s="88" t="s">
        <v>1330</v>
      </c>
      <c r="D13" s="88" t="s">
        <v>1062</v>
      </c>
      <c r="E13" s="89" t="s">
        <v>1086</v>
      </c>
      <c r="F13" s="62"/>
      <c r="G13" s="70"/>
      <c r="H13" s="70"/>
      <c r="I13" s="70"/>
      <c r="J13" s="70"/>
      <c r="K13" s="70"/>
      <c r="L13" s="70"/>
      <c r="M13" s="70"/>
      <c r="N13" s="70"/>
      <c r="O13" s="71"/>
      <c r="P13" s="71"/>
      <c r="Q13" s="71"/>
      <c r="R13" s="71"/>
      <c r="S13" s="71"/>
      <c r="T13" s="71"/>
      <c r="U13" s="71"/>
      <c r="V13" s="71"/>
      <c r="W13" s="71"/>
      <c r="X13" s="70"/>
      <c r="Y13" s="70"/>
      <c r="Z13" s="70"/>
      <c r="AA13" s="70"/>
      <c r="AB13" s="70"/>
      <c r="AC13" s="70"/>
      <c r="AD13" s="70"/>
      <c r="AE13" s="70"/>
      <c r="AF13" s="70"/>
      <c r="AG13" s="70"/>
    </row>
    <row r="14">
      <c r="A14" s="84" t="str">
        <f>'Chapter Status'!C17</f>
        <v>Learn</v>
      </c>
      <c r="B14" s="103"/>
      <c r="C14" s="87" t="s">
        <v>1087</v>
      </c>
      <c r="D14" s="88"/>
      <c r="E14" s="89" t="s">
        <v>1086</v>
      </c>
      <c r="F14" s="62"/>
      <c r="G14" s="70"/>
      <c r="H14" s="70"/>
      <c r="I14" s="70"/>
      <c r="J14" s="70"/>
      <c r="K14" s="70"/>
      <c r="L14" s="70"/>
      <c r="M14" s="70"/>
      <c r="N14" s="70"/>
      <c r="O14" s="71"/>
      <c r="P14" s="71"/>
      <c r="Q14" s="71"/>
      <c r="R14" s="71"/>
      <c r="S14" s="71"/>
      <c r="T14" s="71"/>
      <c r="U14" s="71"/>
      <c r="V14" s="71"/>
      <c r="W14" s="71"/>
      <c r="X14" s="70"/>
      <c r="Y14" s="70"/>
      <c r="Z14" s="70"/>
      <c r="AA14" s="70"/>
      <c r="AB14" s="70"/>
      <c r="AC14" s="70"/>
      <c r="AD14" s="70"/>
      <c r="AE14" s="70"/>
      <c r="AF14" s="70"/>
      <c r="AG14" s="70"/>
    </row>
    <row r="15">
      <c r="A15" s="84" t="str">
        <f>'Chapter Status'!C18</f>
        <v>Practice</v>
      </c>
      <c r="B15" s="103"/>
      <c r="C15" s="87" t="s">
        <v>1331</v>
      </c>
      <c r="D15" s="88"/>
      <c r="E15" s="99" t="s">
        <v>1110</v>
      </c>
      <c r="F15" s="62"/>
      <c r="G15" s="70"/>
      <c r="H15" s="70"/>
      <c r="I15" s="70"/>
      <c r="J15" s="70"/>
      <c r="K15" s="70"/>
      <c r="L15" s="70"/>
      <c r="M15" s="70"/>
      <c r="N15" s="70"/>
      <c r="O15" s="71"/>
      <c r="P15" s="71"/>
      <c r="Q15" s="71"/>
      <c r="R15" s="71"/>
      <c r="S15" s="71"/>
      <c r="T15" s="71"/>
      <c r="U15" s="71"/>
      <c r="V15" s="71"/>
      <c r="W15" s="71"/>
      <c r="X15" s="70"/>
      <c r="Y15" s="70"/>
      <c r="Z15" s="70"/>
      <c r="AA15" s="70"/>
      <c r="AB15" s="70"/>
      <c r="AC15" s="70"/>
      <c r="AD15" s="70"/>
      <c r="AE15" s="70"/>
      <c r="AF15" s="70"/>
      <c r="AG15" s="70"/>
    </row>
    <row r="16">
      <c r="A16" s="84" t="str">
        <f>'Chapter Status'!C19</f>
        <v>Review</v>
      </c>
      <c r="B16" s="103"/>
      <c r="C16" s="88" t="s">
        <v>1043</v>
      </c>
      <c r="D16" s="88"/>
      <c r="E16" s="99"/>
      <c r="F16" s="62"/>
      <c r="G16" s="70"/>
      <c r="H16" s="70"/>
      <c r="I16" s="70"/>
      <c r="J16" s="70"/>
      <c r="K16" s="70"/>
      <c r="L16" s="70"/>
      <c r="M16" s="70"/>
      <c r="N16" s="70"/>
      <c r="O16" s="71"/>
      <c r="P16" s="71"/>
      <c r="Q16" s="71"/>
      <c r="R16" s="71"/>
      <c r="S16" s="71"/>
      <c r="T16" s="71"/>
      <c r="U16" s="71"/>
      <c r="V16" s="71"/>
      <c r="W16" s="71"/>
      <c r="X16" s="70"/>
      <c r="Y16" s="70"/>
      <c r="Z16" s="70"/>
      <c r="AA16" s="70"/>
      <c r="AB16" s="70"/>
      <c r="AC16" s="70"/>
      <c r="AD16" s="70"/>
      <c r="AE16" s="70"/>
      <c r="AF16" s="70"/>
      <c r="AG16" s="70"/>
    </row>
    <row r="17">
      <c r="A17" s="84" t="str">
        <f>'Chapter Status'!C20</f>
        <v>Quiz</v>
      </c>
      <c r="B17" s="103"/>
      <c r="C17" s="88" t="s">
        <v>1045</v>
      </c>
      <c r="D17" s="88"/>
      <c r="E17" s="90" t="s">
        <v>1046</v>
      </c>
      <c r="F17" s="62"/>
      <c r="G17" s="70"/>
      <c r="H17" s="70"/>
      <c r="I17" s="70"/>
      <c r="J17" s="70"/>
      <c r="K17" s="70"/>
      <c r="L17" s="70"/>
      <c r="M17" s="70"/>
      <c r="N17" s="70"/>
      <c r="O17" s="71"/>
      <c r="P17" s="71"/>
      <c r="Q17" s="71"/>
      <c r="R17" s="71"/>
      <c r="S17" s="71"/>
      <c r="T17" s="71"/>
      <c r="U17" s="71"/>
      <c r="V17" s="71"/>
      <c r="W17" s="71"/>
      <c r="X17" s="70"/>
      <c r="Y17" s="70"/>
      <c r="Z17" s="70"/>
      <c r="AA17" s="70"/>
      <c r="AB17" s="70"/>
      <c r="AC17" s="70"/>
      <c r="AD17" s="70"/>
      <c r="AE17" s="70"/>
      <c r="AF17" s="70"/>
      <c r="AG17" s="70"/>
    </row>
    <row r="18">
      <c r="A18" s="91"/>
      <c r="B18" s="91"/>
      <c r="C18" s="91"/>
      <c r="D18" s="91"/>
      <c r="E18" s="91"/>
      <c r="F18" s="59"/>
      <c r="G18" s="59"/>
      <c r="H18" s="59"/>
      <c r="I18" s="59"/>
      <c r="J18" s="59"/>
      <c r="K18" s="59"/>
      <c r="L18" s="59"/>
      <c r="M18" s="59"/>
      <c r="N18" s="59"/>
      <c r="O18" s="91"/>
      <c r="P18" s="91"/>
      <c r="Q18" s="91"/>
      <c r="R18" s="91"/>
      <c r="S18" s="91"/>
      <c r="T18" s="91"/>
      <c r="U18" s="91"/>
      <c r="V18" s="91"/>
      <c r="W18" s="91"/>
      <c r="X18" s="59"/>
      <c r="Y18" s="59"/>
      <c r="Z18" s="59"/>
      <c r="AA18" s="59"/>
      <c r="AB18" s="59"/>
      <c r="AC18" s="59"/>
      <c r="AD18" s="59"/>
      <c r="AE18" s="59"/>
      <c r="AF18" s="59"/>
      <c r="AG18" s="59"/>
    </row>
    <row r="19">
      <c r="A19" s="91"/>
      <c r="B19" s="91"/>
      <c r="C19" s="91"/>
      <c r="D19" s="91"/>
      <c r="E19" s="91"/>
      <c r="F19" s="59"/>
      <c r="G19" s="59"/>
      <c r="H19" s="59"/>
      <c r="I19" s="59"/>
      <c r="J19" s="59"/>
      <c r="K19" s="59"/>
      <c r="L19" s="59"/>
      <c r="M19" s="59"/>
      <c r="N19" s="59"/>
      <c r="O19" s="91"/>
      <c r="P19" s="91"/>
      <c r="Q19" s="91"/>
      <c r="R19" s="91"/>
      <c r="S19" s="91"/>
      <c r="T19" s="91"/>
      <c r="U19" s="91"/>
      <c r="V19" s="91"/>
      <c r="W19" s="91"/>
      <c r="X19" s="59"/>
      <c r="Y19" s="59"/>
      <c r="Z19" s="59"/>
      <c r="AA19" s="59"/>
      <c r="AB19" s="59"/>
      <c r="AC19" s="59"/>
      <c r="AD19" s="59"/>
      <c r="AE19" s="59"/>
      <c r="AF19" s="59"/>
      <c r="AG19" s="59"/>
    </row>
    <row r="20">
      <c r="A20" s="91"/>
      <c r="F20" s="59"/>
      <c r="G20" s="59"/>
      <c r="H20" s="59"/>
      <c r="I20" s="59"/>
      <c r="J20" s="59"/>
      <c r="K20" s="59"/>
      <c r="L20" s="59"/>
      <c r="M20" s="59"/>
      <c r="N20" s="59"/>
      <c r="O20" s="91"/>
      <c r="X20" s="59"/>
      <c r="Y20" s="59"/>
      <c r="Z20" s="59"/>
      <c r="AA20" s="59"/>
      <c r="AB20" s="59"/>
      <c r="AC20" s="59"/>
      <c r="AD20" s="59"/>
      <c r="AE20" s="59"/>
      <c r="AF20" s="59"/>
      <c r="AG20" s="59"/>
    </row>
    <row r="21">
      <c r="A21" s="92" t="s">
        <v>1332</v>
      </c>
      <c r="B21" s="61"/>
      <c r="C21" s="61"/>
      <c r="D21" s="61"/>
      <c r="E21" s="61"/>
      <c r="F21" s="62"/>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row>
    <row r="22">
      <c r="A22" s="93"/>
      <c r="B22" s="61"/>
      <c r="C22" s="61"/>
      <c r="D22" s="61"/>
      <c r="E22" s="61"/>
      <c r="F22" s="62"/>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row>
    <row r="23">
      <c r="A23" s="73" t="s">
        <v>1013</v>
      </c>
      <c r="B23" s="61"/>
      <c r="C23" s="61"/>
      <c r="D23" s="61"/>
      <c r="E23" s="61"/>
      <c r="F23" s="62"/>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row>
    <row r="24">
      <c r="A24" s="74" t="s">
        <v>1014</v>
      </c>
      <c r="B24" s="62"/>
      <c r="C24" s="74" t="s">
        <v>1015</v>
      </c>
      <c r="D24" s="75" t="s">
        <v>1016</v>
      </c>
      <c r="E24" s="76" t="s">
        <v>1017</v>
      </c>
      <c r="F24" s="77" t="s">
        <v>1018</v>
      </c>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row>
    <row r="25">
      <c r="A25" s="72" t="s">
        <v>1076</v>
      </c>
      <c r="B25" s="62"/>
      <c r="C25" s="78" t="s">
        <v>1077</v>
      </c>
      <c r="D25" s="94" t="s">
        <v>1078</v>
      </c>
      <c r="E25" s="80" t="s">
        <v>1079</v>
      </c>
      <c r="F25" s="80" t="s">
        <v>1080</v>
      </c>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row>
    <row r="26">
      <c r="A26" s="74" t="s">
        <v>1024</v>
      </c>
      <c r="B26" s="62"/>
      <c r="C26" s="74" t="s">
        <v>1025</v>
      </c>
      <c r="D26" s="76" t="s">
        <v>691</v>
      </c>
      <c r="E26" s="75" t="s">
        <v>1026</v>
      </c>
      <c r="F26" s="81" t="s">
        <v>1333</v>
      </c>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row>
    <row r="27">
      <c r="A27" s="64" t="s">
        <v>1082</v>
      </c>
      <c r="B27" s="62"/>
      <c r="C27" s="82" t="s">
        <v>1083</v>
      </c>
      <c r="D27" s="80" t="s">
        <v>1084</v>
      </c>
      <c r="E27" s="80" t="s">
        <v>1085</v>
      </c>
      <c r="F27" s="80" t="s">
        <v>1082</v>
      </c>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row>
    <row r="28">
      <c r="A28" s="95" t="s">
        <v>1032</v>
      </c>
      <c r="B28" s="95" t="s">
        <v>1033</v>
      </c>
      <c r="C28" s="95" t="s">
        <v>1034</v>
      </c>
      <c r="D28" s="95" t="s">
        <v>1035</v>
      </c>
      <c r="E28" s="67" t="s">
        <v>1036</v>
      </c>
      <c r="F28" s="62"/>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row>
    <row r="29">
      <c r="A29" s="96" t="str">
        <f>'Chapter Status'!C22</f>
        <v>Warm-up</v>
      </c>
      <c r="B29" s="88" t="s">
        <v>1334</v>
      </c>
      <c r="C29" s="88" t="s">
        <v>1335</v>
      </c>
      <c r="D29" s="88" t="s">
        <v>1062</v>
      </c>
      <c r="E29" s="89" t="s">
        <v>1086</v>
      </c>
      <c r="F29" s="62"/>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row>
    <row r="30">
      <c r="A30" s="96" t="str">
        <f>'Chapter Status'!C23</f>
        <v>Learn</v>
      </c>
      <c r="B30" s="103"/>
      <c r="C30" s="87" t="s">
        <v>1087</v>
      </c>
      <c r="D30" s="88"/>
      <c r="E30" s="89" t="s">
        <v>1086</v>
      </c>
      <c r="F30" s="62"/>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row>
    <row r="31">
      <c r="A31" s="96" t="str">
        <f>'Chapter Status'!C26</f>
        <v>Practice</v>
      </c>
      <c r="B31" s="103"/>
      <c r="C31" s="87" t="s">
        <v>1331</v>
      </c>
      <c r="D31" s="88"/>
      <c r="E31" s="99" t="s">
        <v>1110</v>
      </c>
      <c r="F31" s="62"/>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row>
    <row r="32">
      <c r="A32" s="96" t="str">
        <f>'Chapter Status'!C27</f>
        <v>Review</v>
      </c>
      <c r="B32" s="103"/>
      <c r="C32" s="88" t="s">
        <v>1043</v>
      </c>
      <c r="D32" s="88"/>
      <c r="E32" s="99"/>
      <c r="F32" s="62"/>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row>
    <row r="33">
      <c r="A33" s="96" t="str">
        <f>'Chapter Status'!C28</f>
        <v>Quiz</v>
      </c>
      <c r="B33" s="103"/>
      <c r="C33" s="88" t="s">
        <v>1045</v>
      </c>
      <c r="D33" s="88"/>
      <c r="E33" s="90" t="s">
        <v>1046</v>
      </c>
      <c r="F33" s="62"/>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row>
    <row r="36">
      <c r="A36" s="92" t="s">
        <v>1134</v>
      </c>
      <c r="B36" s="61"/>
      <c r="C36" s="61"/>
      <c r="D36" s="61"/>
      <c r="E36" s="61"/>
      <c r="F36" s="62"/>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row>
    <row r="37">
      <c r="A37" s="93"/>
      <c r="B37" s="61"/>
      <c r="C37" s="61"/>
      <c r="D37" s="61"/>
      <c r="E37" s="61"/>
      <c r="F37" s="62"/>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73" t="s">
        <v>1013</v>
      </c>
      <c r="B38" s="61"/>
      <c r="C38" s="61"/>
      <c r="D38" s="61"/>
      <c r="E38" s="61"/>
      <c r="F38" s="62"/>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74" t="s">
        <v>1014</v>
      </c>
      <c r="B39" s="62"/>
      <c r="C39" s="74" t="s">
        <v>1015</v>
      </c>
      <c r="D39" s="75" t="s">
        <v>1016</v>
      </c>
      <c r="E39" s="76" t="s">
        <v>1017</v>
      </c>
      <c r="F39" s="77" t="s">
        <v>1018</v>
      </c>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72" t="s">
        <v>1076</v>
      </c>
      <c r="B40" s="62"/>
      <c r="C40" s="78" t="s">
        <v>1077</v>
      </c>
      <c r="D40" s="94" t="s">
        <v>1078</v>
      </c>
      <c r="E40" s="80" t="s">
        <v>1079</v>
      </c>
      <c r="F40" s="80" t="s">
        <v>1080</v>
      </c>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74" t="s">
        <v>1024</v>
      </c>
      <c r="B41" s="62"/>
      <c r="C41" s="74" t="s">
        <v>1025</v>
      </c>
      <c r="D41" s="76" t="s">
        <v>691</v>
      </c>
      <c r="E41" s="75" t="s">
        <v>1026</v>
      </c>
      <c r="F41" s="81" t="s">
        <v>1336</v>
      </c>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64" t="s">
        <v>1082</v>
      </c>
      <c r="B42" s="62"/>
      <c r="C42" s="82" t="s">
        <v>1083</v>
      </c>
      <c r="D42" s="80" t="s">
        <v>1084</v>
      </c>
      <c r="E42" s="80" t="s">
        <v>1085</v>
      </c>
      <c r="F42" s="80" t="s">
        <v>1082</v>
      </c>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95" t="s">
        <v>1032</v>
      </c>
      <c r="B43" s="95" t="s">
        <v>1033</v>
      </c>
      <c r="C43" s="95" t="s">
        <v>1034</v>
      </c>
      <c r="D43" s="95" t="s">
        <v>1035</v>
      </c>
      <c r="E43" s="67" t="s">
        <v>1036</v>
      </c>
      <c r="F43" s="62"/>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96" t="str">
        <f>'Chapter Status'!C30</f>
        <v>Warm-up</v>
      </c>
      <c r="B44" s="88" t="s">
        <v>1337</v>
      </c>
      <c r="C44" s="88" t="s">
        <v>1338</v>
      </c>
      <c r="D44" s="88" t="s">
        <v>1062</v>
      </c>
      <c r="E44" s="89" t="s">
        <v>1086</v>
      </c>
      <c r="F44" s="62"/>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96" t="str">
        <f>'Chapter Status'!C31</f>
        <v>Learn</v>
      </c>
      <c r="B45" s="103"/>
      <c r="C45" s="87" t="s">
        <v>1087</v>
      </c>
      <c r="D45" s="88"/>
      <c r="E45" s="89" t="s">
        <v>1086</v>
      </c>
      <c r="F45" s="62"/>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96" t="str">
        <f>'Chapter Status'!C32</f>
        <v>Practice</v>
      </c>
      <c r="B46" s="103"/>
      <c r="C46" s="87" t="s">
        <v>1331</v>
      </c>
      <c r="D46" s="88"/>
      <c r="E46" s="99" t="s">
        <v>1110</v>
      </c>
      <c r="F46" s="62"/>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96" t="str">
        <f>'Chapter Status'!C33</f>
        <v>Review</v>
      </c>
      <c r="B47" s="103"/>
      <c r="C47" s="88" t="s">
        <v>1043</v>
      </c>
      <c r="D47" s="88"/>
      <c r="E47" s="99"/>
      <c r="F47" s="62"/>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96" t="str">
        <f>'Chapter Status'!C34</f>
        <v>Quiz</v>
      </c>
      <c r="B48" s="103"/>
      <c r="C48" s="88" t="s">
        <v>1045</v>
      </c>
      <c r="D48" s="88"/>
      <c r="E48" s="90" t="s">
        <v>1046</v>
      </c>
      <c r="F48" s="62"/>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row>
  </sheetData>
  <mergeCells count="47">
    <mergeCell ref="A2:F2"/>
    <mergeCell ref="O2:W2"/>
    <mergeCell ref="A3:F3"/>
    <mergeCell ref="O3:W3"/>
    <mergeCell ref="A4:F4"/>
    <mergeCell ref="O4:W4"/>
    <mergeCell ref="A5:F5"/>
    <mergeCell ref="A6:F6"/>
    <mergeCell ref="A7:F7"/>
    <mergeCell ref="A8:B8"/>
    <mergeCell ref="A9:B9"/>
    <mergeCell ref="A10:B10"/>
    <mergeCell ref="A11:B11"/>
    <mergeCell ref="E12:F12"/>
    <mergeCell ref="E13:F13"/>
    <mergeCell ref="E14:F14"/>
    <mergeCell ref="E15:F15"/>
    <mergeCell ref="E16:F16"/>
    <mergeCell ref="E17:F17"/>
    <mergeCell ref="A20:E20"/>
    <mergeCell ref="O20:W20"/>
    <mergeCell ref="A21:F21"/>
    <mergeCell ref="A22:F22"/>
    <mergeCell ref="A23:F23"/>
    <mergeCell ref="A24:B24"/>
    <mergeCell ref="A25:B25"/>
    <mergeCell ref="A26:B26"/>
    <mergeCell ref="A27:B27"/>
    <mergeCell ref="E28:F28"/>
    <mergeCell ref="E29:F29"/>
    <mergeCell ref="E30:F30"/>
    <mergeCell ref="E31:F31"/>
    <mergeCell ref="E32:F32"/>
    <mergeCell ref="E33:F33"/>
    <mergeCell ref="A36:F36"/>
    <mergeCell ref="E44:F44"/>
    <mergeCell ref="E45:F45"/>
    <mergeCell ref="E46:F46"/>
    <mergeCell ref="E47:F47"/>
    <mergeCell ref="E48:F48"/>
    <mergeCell ref="A37:F37"/>
    <mergeCell ref="A38:F38"/>
    <mergeCell ref="A39:B39"/>
    <mergeCell ref="A40:B40"/>
    <mergeCell ref="A41:B41"/>
    <mergeCell ref="A42:B42"/>
    <mergeCell ref="E43:F43"/>
  </mergeCells>
  <dataValidations>
    <dataValidation type="list" allowBlank="1" showErrorMessage="1" sqref="A13:A17 A29:A33 A44:A48">
      <formula1>"Warm-up,Learn,Practice,Review,Quiz"</formula1>
    </dataValidation>
  </dataValidations>
  <hyperlinks>
    <hyperlink r:id="rId1" ref="A8"/>
    <hyperlink r:id="rId2" ref="C8"/>
    <hyperlink r:id="rId3" ref="E8"/>
    <hyperlink r:id="rId4" ref="F8"/>
    <hyperlink r:id="rId5" ref="A10"/>
    <hyperlink r:id="rId6" ref="C10"/>
    <hyperlink r:id="rId7" ref="D10"/>
    <hyperlink r:id="rId8" ref="F10"/>
    <hyperlink r:id="rId9" ref="A24"/>
    <hyperlink r:id="rId10" ref="C24"/>
    <hyperlink r:id="rId11" ref="E24"/>
    <hyperlink r:id="rId12" ref="F24"/>
    <hyperlink r:id="rId13" ref="A26"/>
    <hyperlink r:id="rId14" ref="C26"/>
    <hyperlink r:id="rId15" ref="D26"/>
    <hyperlink r:id="rId16" ref="F26"/>
    <hyperlink r:id="rId17" ref="A39"/>
    <hyperlink r:id="rId18" ref="C39"/>
    <hyperlink r:id="rId19" ref="E39"/>
    <hyperlink r:id="rId20" ref="F39"/>
    <hyperlink r:id="rId21" ref="A41"/>
    <hyperlink r:id="rId22" ref="C41"/>
    <hyperlink r:id="rId23" ref="D41"/>
    <hyperlink r:id="rId24" ref="F41"/>
  </hyperlinks>
  <drawing r:id="rId2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2" t="s">
        <v>1339</v>
      </c>
      <c r="B1" s="2" t="s">
        <v>1340</v>
      </c>
      <c r="D1" s="136" t="s">
        <v>1341</v>
      </c>
    </row>
    <row r="2">
      <c r="A2" s="3" t="s">
        <v>1342</v>
      </c>
      <c r="B2" s="3" t="s">
        <v>1343</v>
      </c>
      <c r="E2" s="136" t="s">
        <v>1207</v>
      </c>
      <c r="F2" s="136" t="s">
        <v>1208</v>
      </c>
    </row>
    <row r="3">
      <c r="A3" s="3" t="s">
        <v>1235</v>
      </c>
      <c r="B3" s="3" t="s">
        <v>1344</v>
      </c>
      <c r="D3" s="136" t="s">
        <v>1344</v>
      </c>
      <c r="E3" s="3" t="s">
        <v>1345</v>
      </c>
      <c r="F3" s="3" t="s">
        <v>1345</v>
      </c>
    </row>
    <row r="4">
      <c r="A4" s="3" t="s">
        <v>1253</v>
      </c>
      <c r="B4" s="3" t="s">
        <v>1343</v>
      </c>
      <c r="D4" s="136" t="s">
        <v>1343</v>
      </c>
      <c r="E4" s="3" t="s">
        <v>1346</v>
      </c>
      <c r="F4" s="3" t="s">
        <v>1346</v>
      </c>
    </row>
    <row r="5">
      <c r="A5" s="3" t="s">
        <v>1243</v>
      </c>
      <c r="B5" s="3" t="s">
        <v>1344</v>
      </c>
    </row>
    <row r="6">
      <c r="A6" s="3" t="s">
        <v>1233</v>
      </c>
      <c r="B6" s="3" t="s">
        <v>1343</v>
      </c>
      <c r="D6" s="136" t="s">
        <v>1347</v>
      </c>
      <c r="E6" s="3" t="s">
        <v>1348</v>
      </c>
    </row>
    <row r="7">
      <c r="A7" s="3" t="s">
        <v>1248</v>
      </c>
      <c r="B7" s="3" t="s">
        <v>1343</v>
      </c>
    </row>
    <row r="8">
      <c r="A8" s="3" t="s">
        <v>1236</v>
      </c>
      <c r="B8" s="3" t="s">
        <v>1344</v>
      </c>
    </row>
    <row r="9">
      <c r="A9" s="3" t="s">
        <v>1349</v>
      </c>
      <c r="B9" s="3" t="s">
        <v>1343</v>
      </c>
    </row>
    <row r="10">
      <c r="A10" s="3"/>
    </row>
    <row r="11">
      <c r="A11" s="3" t="s">
        <v>1299</v>
      </c>
      <c r="B11" s="3" t="s">
        <v>1344</v>
      </c>
    </row>
    <row r="12">
      <c r="A12" s="3" t="s">
        <v>1350</v>
      </c>
      <c r="B12" s="3" t="s">
        <v>1343</v>
      </c>
    </row>
    <row r="13">
      <c r="A13" s="3" t="s">
        <v>1351</v>
      </c>
      <c r="B13" s="3" t="s">
        <v>1344</v>
      </c>
    </row>
    <row r="14">
      <c r="A14" s="3" t="s">
        <v>1317</v>
      </c>
      <c r="B14" s="3" t="s">
        <v>1344</v>
      </c>
    </row>
    <row r="15">
      <c r="A15" s="3" t="s">
        <v>1289</v>
      </c>
      <c r="B15" s="3" t="s">
        <v>1344</v>
      </c>
    </row>
    <row r="16">
      <c r="A16" s="3" t="s">
        <v>1312</v>
      </c>
      <c r="B16" s="3" t="s">
        <v>1344</v>
      </c>
    </row>
    <row r="17">
      <c r="A17" s="3" t="s">
        <v>1352</v>
      </c>
      <c r="B17" s="3" t="s">
        <v>1343</v>
      </c>
    </row>
    <row r="18">
      <c r="A18" s="3" t="s">
        <v>1353</v>
      </c>
      <c r="B18" s="3" t="s">
        <v>1354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3" max="3" width="15.5"/>
  </cols>
  <sheetData>
    <row r="1">
      <c r="A1" s="4" t="str">
        <f>IFERROR(__xludf.DUMMYFUNCTION("FILTER(Chapter_Status[Name], Chapter_Status[Type] = ""Chapter"")"),"Welcome to A1 Professional Spanish ")</f>
        <v>Welcome to A1 Professional Spanish </v>
      </c>
    </row>
    <row r="2">
      <c r="A2" s="4" t="str">
        <f>IFERROR(__xludf.DUMMYFUNCTION("""COMPUTED_VALUE"""),"Spanish Fundamentals")</f>
        <v>Spanish Fundamentals</v>
      </c>
    </row>
    <row r="3">
      <c r="A3" s="4" t="str">
        <f>IFERROR(__xludf.DUMMYFUNCTION("""COMPUTED_VALUE"""),"Greetings and Introductions")</f>
        <v>Greetings and Introductions</v>
      </c>
    </row>
    <row r="4">
      <c r="A4" s="4" t="str">
        <f>IFERROR(__xludf.DUMMYFUNCTION("""COMPUTED_VALUE"""),"Basic Personal Details")</f>
        <v>Basic Personal Details</v>
      </c>
    </row>
    <row r="5">
      <c r="A5" s="4" t="str">
        <f>IFERROR(__xludf.DUMMYFUNCTION("""COMPUTED_VALUE"""),"Describing a Company and Its People")</f>
        <v>Describing a Company and Its People</v>
      </c>
    </row>
    <row r="6">
      <c r="A6"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6.0"/>
    <col customWidth="1" min="3" max="3" width="17.5"/>
    <col customWidth="1" min="4" max="4" width="4.5"/>
    <col customWidth="1" min="5" max="5" width="34.0"/>
    <col customWidth="1" min="6" max="6" width="5.25"/>
    <col customWidth="1" min="7" max="7" width="24.63"/>
    <col customWidth="1" min="8" max="8" width="4.88"/>
    <col customWidth="1" min="9" max="9" width="23.25"/>
    <col customWidth="1" min="10" max="10" width="17.88"/>
    <col customWidth="1" min="11" max="12" width="3.0"/>
  </cols>
  <sheetData>
    <row r="1">
      <c r="A1" s="58" t="s">
        <v>1355</v>
      </c>
      <c r="J1" s="59"/>
      <c r="K1" s="59"/>
      <c r="L1" s="59"/>
    </row>
    <row r="2">
      <c r="A2" s="137" t="s">
        <v>1356</v>
      </c>
      <c r="B2" s="61"/>
      <c r="C2" s="61"/>
      <c r="D2" s="61"/>
      <c r="E2" s="61"/>
      <c r="F2" s="61"/>
      <c r="G2" s="61"/>
      <c r="H2" s="61"/>
      <c r="I2" s="62"/>
      <c r="J2" s="59"/>
      <c r="K2" s="59"/>
      <c r="L2" s="59"/>
    </row>
    <row r="3">
      <c r="A3" s="64" t="s">
        <v>1357</v>
      </c>
      <c r="B3" s="61"/>
      <c r="C3" s="61"/>
      <c r="D3" s="61"/>
      <c r="E3" s="61"/>
      <c r="F3" s="61"/>
      <c r="G3" s="61"/>
      <c r="H3" s="61"/>
      <c r="I3" s="62"/>
      <c r="J3" s="59"/>
      <c r="K3" s="59"/>
      <c r="L3" s="59"/>
    </row>
    <row r="4" ht="59.25" customHeight="1">
      <c r="A4" s="66" t="s">
        <v>1358</v>
      </c>
      <c r="J4" s="59"/>
      <c r="K4" s="59"/>
      <c r="L4" s="59"/>
    </row>
    <row r="5">
      <c r="A5" s="91"/>
      <c r="J5" s="59"/>
      <c r="K5" s="59"/>
      <c r="L5" s="59"/>
    </row>
    <row r="6">
      <c r="A6" s="138" t="s">
        <v>1359</v>
      </c>
      <c r="B6" s="61"/>
      <c r="C6" s="61"/>
      <c r="D6" s="61"/>
      <c r="E6" s="61"/>
      <c r="F6" s="61"/>
      <c r="G6" s="61"/>
      <c r="H6" s="61"/>
      <c r="I6" s="62"/>
      <c r="J6" s="59"/>
      <c r="K6" s="59"/>
      <c r="L6" s="59"/>
    </row>
    <row r="7">
      <c r="A7" s="72" t="s">
        <v>1360</v>
      </c>
      <c r="B7" s="61"/>
      <c r="C7" s="61"/>
      <c r="D7" s="61"/>
      <c r="E7" s="61"/>
      <c r="F7" s="61"/>
      <c r="G7" s="61"/>
      <c r="H7" s="61"/>
      <c r="I7" s="62"/>
      <c r="J7" s="59"/>
      <c r="K7" s="59"/>
      <c r="L7" s="59"/>
    </row>
    <row r="8">
      <c r="A8" s="138" t="s">
        <v>1361</v>
      </c>
      <c r="B8" s="61"/>
      <c r="C8" s="61"/>
      <c r="D8" s="61"/>
      <c r="E8" s="61"/>
      <c r="F8" s="61"/>
      <c r="G8" s="61"/>
      <c r="H8" s="61"/>
      <c r="I8" s="62"/>
      <c r="J8" s="59"/>
      <c r="K8" s="59"/>
      <c r="L8" s="59"/>
    </row>
    <row r="9">
      <c r="A9" s="139" t="s">
        <v>1362</v>
      </c>
      <c r="B9" s="61"/>
      <c r="C9" s="62"/>
      <c r="D9" s="139" t="s">
        <v>1363</v>
      </c>
      <c r="E9" s="61"/>
      <c r="F9" s="61"/>
      <c r="G9" s="139" t="s">
        <v>1364</v>
      </c>
      <c r="H9" s="61"/>
      <c r="I9" s="61"/>
      <c r="J9" s="59"/>
      <c r="K9" s="59"/>
      <c r="L9" s="59"/>
    </row>
    <row r="10">
      <c r="A10" s="93" t="s">
        <v>1365</v>
      </c>
      <c r="B10" s="61"/>
      <c r="C10" s="62"/>
      <c r="D10" s="93" t="s">
        <v>1366</v>
      </c>
      <c r="E10" s="61"/>
      <c r="F10" s="62"/>
      <c r="G10" s="93" t="s">
        <v>1367</v>
      </c>
      <c r="H10" s="61"/>
      <c r="I10" s="62"/>
      <c r="J10" s="59"/>
      <c r="K10" s="59"/>
      <c r="L10" s="59"/>
    </row>
    <row r="11">
      <c r="A11" s="138" t="s">
        <v>1368</v>
      </c>
      <c r="B11" s="61"/>
      <c r="C11" s="61"/>
      <c r="D11" s="61"/>
      <c r="E11" s="61"/>
      <c r="F11" s="61"/>
      <c r="G11" s="61"/>
      <c r="H11" s="61"/>
      <c r="I11" s="62"/>
      <c r="J11" s="59"/>
      <c r="K11" s="59"/>
      <c r="L11" s="59"/>
    </row>
    <row r="12">
      <c r="A12" s="140" t="s">
        <v>1014</v>
      </c>
      <c r="B12" s="141" t="s">
        <v>1015</v>
      </c>
      <c r="C12" s="62"/>
      <c r="D12" s="139" t="s">
        <v>1016</v>
      </c>
      <c r="E12" s="62"/>
      <c r="F12" s="141" t="s">
        <v>1017</v>
      </c>
      <c r="G12" s="62"/>
      <c r="H12" s="141" t="s">
        <v>1018</v>
      </c>
      <c r="I12" s="62"/>
      <c r="J12" s="59"/>
      <c r="K12" s="59"/>
      <c r="L12" s="59"/>
    </row>
    <row r="13" ht="323.25" customHeight="1">
      <c r="A13" s="110" t="s">
        <v>1076</v>
      </c>
      <c r="B13" s="93" t="s">
        <v>1369</v>
      </c>
      <c r="C13" s="62"/>
      <c r="D13" s="64" t="s">
        <v>1078</v>
      </c>
      <c r="E13" s="62"/>
      <c r="F13" s="64" t="s">
        <v>1079</v>
      </c>
      <c r="G13" s="62"/>
      <c r="H13" s="64" t="s">
        <v>1080</v>
      </c>
      <c r="I13" s="62"/>
      <c r="J13" s="59"/>
      <c r="K13" s="59"/>
      <c r="L13" s="59"/>
    </row>
    <row r="14">
      <c r="A14" s="140" t="s">
        <v>1024</v>
      </c>
      <c r="B14" s="141" t="s">
        <v>1025</v>
      </c>
      <c r="C14" s="62"/>
      <c r="D14" s="141" t="s">
        <v>691</v>
      </c>
      <c r="E14" s="62"/>
      <c r="F14" s="139" t="s">
        <v>1026</v>
      </c>
      <c r="G14" s="62"/>
      <c r="H14" s="141" t="s">
        <v>1370</v>
      </c>
      <c r="I14" s="62"/>
      <c r="J14" s="59"/>
      <c r="K14" s="59"/>
      <c r="L14" s="59"/>
    </row>
    <row r="15">
      <c r="A15" s="109" t="s">
        <v>1082</v>
      </c>
      <c r="B15" s="64" t="s">
        <v>1083</v>
      </c>
      <c r="C15" s="62"/>
      <c r="D15" s="93" t="s">
        <v>1084</v>
      </c>
      <c r="E15" s="62"/>
      <c r="F15" s="93" t="s">
        <v>1085</v>
      </c>
      <c r="G15" s="62"/>
      <c r="H15" s="64" t="s">
        <v>1082</v>
      </c>
      <c r="I15" s="62"/>
      <c r="J15" s="59"/>
      <c r="K15" s="59"/>
      <c r="L15" s="59"/>
    </row>
    <row r="16">
      <c r="A16" s="138" t="s">
        <v>1371</v>
      </c>
      <c r="B16" s="61"/>
      <c r="C16" s="61"/>
      <c r="D16" s="61"/>
      <c r="E16" s="61"/>
      <c r="F16" s="61"/>
      <c r="G16" s="61"/>
      <c r="H16" s="61"/>
      <c r="I16" s="61"/>
      <c r="J16" s="59"/>
      <c r="K16" s="59"/>
      <c r="L16" s="59"/>
    </row>
    <row r="17">
      <c r="A17" s="139" t="s">
        <v>1372</v>
      </c>
      <c r="B17" s="139" t="b">
        <v>0</v>
      </c>
      <c r="C17" s="142" t="s">
        <v>1373</v>
      </c>
      <c r="D17" s="139" t="b">
        <v>0</v>
      </c>
      <c r="E17" s="142" t="s">
        <v>972</v>
      </c>
      <c r="F17" s="139" t="b">
        <v>0</v>
      </c>
      <c r="G17" s="142" t="s">
        <v>1374</v>
      </c>
      <c r="H17" s="139" t="b">
        <v>0</v>
      </c>
      <c r="I17" s="142" t="s">
        <v>1375</v>
      </c>
      <c r="J17" s="59"/>
      <c r="K17" s="59"/>
      <c r="L17" s="59"/>
    </row>
    <row r="18" ht="39.75" customHeight="1">
      <c r="A18" s="143" t="s">
        <v>1376</v>
      </c>
      <c r="B18" s="93" t="s">
        <v>1377</v>
      </c>
      <c r="C18" s="61"/>
      <c r="D18" s="61"/>
      <c r="E18" s="61"/>
      <c r="F18" s="61"/>
      <c r="G18" s="61"/>
      <c r="H18" s="61"/>
      <c r="I18" s="62"/>
      <c r="J18" s="59"/>
      <c r="K18" s="59"/>
      <c r="L18" s="59"/>
    </row>
    <row r="19" ht="71.25" customHeight="1">
      <c r="A19" s="143" t="s">
        <v>1378</v>
      </c>
      <c r="B19" s="93" t="s">
        <v>1379</v>
      </c>
      <c r="C19" s="61"/>
      <c r="D19" s="61"/>
      <c r="E19" s="61"/>
      <c r="F19" s="61"/>
      <c r="G19" s="61"/>
      <c r="H19" s="61"/>
      <c r="I19" s="62"/>
      <c r="J19" s="59"/>
      <c r="K19" s="59"/>
      <c r="L19" s="59"/>
    </row>
    <row r="20" ht="61.5" customHeight="1">
      <c r="A20" s="143" t="s">
        <v>1380</v>
      </c>
      <c r="B20" s="93" t="s">
        <v>1381</v>
      </c>
      <c r="C20" s="61"/>
      <c r="D20" s="61"/>
      <c r="E20" s="61"/>
      <c r="F20" s="61"/>
      <c r="G20" s="61"/>
      <c r="H20" s="61"/>
      <c r="I20" s="62"/>
      <c r="J20" s="59"/>
      <c r="K20" s="59"/>
      <c r="L20" s="59"/>
    </row>
    <row r="21" ht="69.0" customHeight="1">
      <c r="A21" s="143" t="s">
        <v>1382</v>
      </c>
      <c r="B21" s="93" t="s">
        <v>1383</v>
      </c>
      <c r="C21" s="61"/>
      <c r="D21" s="61"/>
      <c r="E21" s="61"/>
      <c r="F21" s="61"/>
      <c r="G21" s="61"/>
      <c r="H21" s="61"/>
      <c r="I21" s="62"/>
      <c r="J21" s="59"/>
      <c r="K21" s="59"/>
      <c r="L21" s="59"/>
    </row>
    <row r="22" ht="114.75" customHeight="1">
      <c r="A22" s="143" t="s">
        <v>1384</v>
      </c>
      <c r="B22" s="93" t="s">
        <v>1385</v>
      </c>
      <c r="C22" s="61"/>
      <c r="D22" s="61"/>
      <c r="E22" s="61"/>
      <c r="F22" s="61"/>
      <c r="G22" s="61"/>
      <c r="H22" s="61"/>
      <c r="I22" s="62"/>
      <c r="J22" s="59"/>
      <c r="K22" s="59"/>
      <c r="L22" s="59"/>
    </row>
    <row r="23">
      <c r="A23" s="138" t="s">
        <v>1386</v>
      </c>
      <c r="B23" s="61"/>
      <c r="C23" s="61"/>
      <c r="D23" s="61"/>
      <c r="E23" s="61"/>
      <c r="F23" s="61"/>
      <c r="G23" s="61"/>
      <c r="H23" s="61"/>
      <c r="I23" s="62"/>
      <c r="J23" s="59"/>
      <c r="K23" s="59"/>
      <c r="L23" s="59"/>
    </row>
    <row r="24">
      <c r="A24" s="139" t="s">
        <v>1372</v>
      </c>
      <c r="B24" s="139" t="b">
        <v>0</v>
      </c>
      <c r="C24" s="142" t="s">
        <v>1373</v>
      </c>
      <c r="D24" s="139" t="b">
        <v>0</v>
      </c>
      <c r="E24" s="142" t="s">
        <v>972</v>
      </c>
      <c r="F24" s="139" t="b">
        <v>0</v>
      </c>
      <c r="G24" s="142" t="s">
        <v>1374</v>
      </c>
      <c r="H24" s="139" t="b">
        <v>0</v>
      </c>
      <c r="I24" s="142" t="s">
        <v>1375</v>
      </c>
      <c r="J24" s="59"/>
      <c r="K24" s="59"/>
      <c r="L24" s="59"/>
    </row>
    <row r="25" ht="44.25" customHeight="1">
      <c r="A25" s="144" t="s">
        <v>1386</v>
      </c>
      <c r="B25" s="93" t="s">
        <v>1387</v>
      </c>
      <c r="C25" s="61"/>
      <c r="D25" s="61"/>
      <c r="E25" s="61"/>
      <c r="F25" s="61"/>
      <c r="G25" s="61"/>
      <c r="H25" s="61"/>
      <c r="I25" s="62"/>
      <c r="J25" s="59"/>
      <c r="K25" s="59"/>
      <c r="L25" s="59"/>
    </row>
    <row r="26" ht="61.5" customHeight="1">
      <c r="A26" s="145" t="s">
        <v>1388</v>
      </c>
      <c r="B26" s="93" t="s">
        <v>1389</v>
      </c>
      <c r="C26" s="61"/>
      <c r="D26" s="61"/>
      <c r="E26" s="61"/>
      <c r="F26" s="61"/>
      <c r="G26" s="61"/>
      <c r="H26" s="61"/>
      <c r="I26" s="62"/>
      <c r="J26" s="59"/>
      <c r="K26" s="59"/>
      <c r="L26" s="59"/>
    </row>
    <row r="27" ht="61.5" customHeight="1">
      <c r="A27" s="145" t="s">
        <v>1390</v>
      </c>
      <c r="B27" s="93" t="s">
        <v>1391</v>
      </c>
      <c r="C27" s="61"/>
      <c r="D27" s="61"/>
      <c r="E27" s="61"/>
      <c r="F27" s="61"/>
      <c r="G27" s="61"/>
      <c r="H27" s="61"/>
      <c r="I27" s="62"/>
      <c r="J27" s="59"/>
      <c r="K27" s="59"/>
      <c r="L27" s="59"/>
    </row>
    <row r="28">
      <c r="A28" s="146" t="s">
        <v>1392</v>
      </c>
      <c r="B28" s="61"/>
      <c r="C28" s="61"/>
      <c r="D28" s="61"/>
      <c r="E28" s="61"/>
      <c r="F28" s="61"/>
      <c r="G28" s="61"/>
      <c r="H28" s="61"/>
      <c r="I28" s="62"/>
      <c r="J28" s="59"/>
      <c r="K28" s="59"/>
      <c r="L28" s="59"/>
    </row>
    <row r="29" ht="68.25" customHeight="1">
      <c r="A29" s="64" t="s">
        <v>1393</v>
      </c>
      <c r="B29" s="61"/>
      <c r="C29" s="61"/>
      <c r="D29" s="61"/>
      <c r="E29" s="61"/>
      <c r="F29" s="61"/>
      <c r="G29" s="61"/>
      <c r="H29" s="61"/>
      <c r="I29" s="62"/>
      <c r="J29" s="59"/>
      <c r="K29" s="59"/>
      <c r="L29" s="59"/>
    </row>
    <row r="30">
      <c r="A30" s="59"/>
      <c r="B30" s="59"/>
      <c r="C30" s="59"/>
      <c r="D30" s="59"/>
      <c r="E30" s="59"/>
      <c r="F30" s="59"/>
      <c r="G30" s="59"/>
      <c r="H30" s="59"/>
      <c r="I30" s="59"/>
      <c r="J30" s="59"/>
      <c r="K30" s="59"/>
      <c r="L30" s="59"/>
    </row>
    <row r="31">
      <c r="A31" s="59"/>
      <c r="B31" s="59"/>
      <c r="C31" s="59"/>
      <c r="D31" s="59"/>
      <c r="E31" s="59"/>
      <c r="F31" s="59"/>
      <c r="G31" s="59"/>
      <c r="H31" s="59"/>
      <c r="I31" s="59"/>
      <c r="J31" s="59"/>
      <c r="K31" s="59"/>
      <c r="L31" s="59"/>
    </row>
    <row r="32">
      <c r="A32" s="59"/>
      <c r="B32" s="59"/>
      <c r="C32" s="59"/>
      <c r="D32" s="59"/>
      <c r="E32" s="59"/>
      <c r="F32" s="59"/>
      <c r="G32" s="59"/>
      <c r="H32" s="59"/>
      <c r="I32" s="59"/>
      <c r="J32" s="59"/>
      <c r="K32" s="59"/>
      <c r="L32" s="59"/>
    </row>
    <row r="33">
      <c r="A33" s="59"/>
      <c r="B33" s="59"/>
      <c r="C33" s="59"/>
      <c r="D33" s="59"/>
      <c r="E33" s="59"/>
      <c r="F33" s="59"/>
      <c r="G33" s="59"/>
      <c r="H33" s="59"/>
      <c r="I33" s="59"/>
      <c r="J33" s="59"/>
      <c r="K33" s="59"/>
      <c r="L33" s="59"/>
    </row>
    <row r="34">
      <c r="A34" s="59"/>
      <c r="B34" s="59"/>
      <c r="C34" s="59"/>
      <c r="D34" s="59"/>
      <c r="E34" s="59"/>
      <c r="F34" s="59"/>
      <c r="G34" s="59"/>
      <c r="H34" s="59"/>
      <c r="I34" s="59"/>
      <c r="J34" s="59"/>
      <c r="K34" s="59"/>
      <c r="L34" s="59"/>
    </row>
    <row r="35">
      <c r="A35" s="59"/>
      <c r="B35" s="59"/>
      <c r="C35" s="59"/>
      <c r="D35" s="59"/>
      <c r="E35" s="59"/>
      <c r="F35" s="59"/>
      <c r="G35" s="59"/>
      <c r="H35" s="59"/>
      <c r="I35" s="59"/>
      <c r="J35" s="59"/>
      <c r="K35" s="59"/>
      <c r="L35" s="59"/>
    </row>
    <row r="36">
      <c r="A36" s="59"/>
      <c r="B36" s="59"/>
      <c r="C36" s="59"/>
      <c r="D36" s="59"/>
      <c r="E36" s="59"/>
      <c r="F36" s="59"/>
      <c r="G36" s="59"/>
      <c r="H36" s="59"/>
      <c r="I36" s="59"/>
      <c r="J36" s="59"/>
      <c r="K36" s="59"/>
      <c r="L36" s="59"/>
    </row>
    <row r="37">
      <c r="A37" s="59"/>
      <c r="B37" s="59"/>
      <c r="C37" s="59"/>
      <c r="D37" s="59"/>
      <c r="E37" s="59"/>
      <c r="F37" s="59"/>
      <c r="G37" s="59"/>
      <c r="H37" s="59"/>
      <c r="I37" s="59"/>
      <c r="J37" s="59"/>
      <c r="K37" s="59"/>
      <c r="L37" s="59"/>
    </row>
    <row r="38">
      <c r="A38" s="59"/>
      <c r="B38" s="59"/>
      <c r="C38" s="59"/>
      <c r="D38" s="59"/>
      <c r="E38" s="59"/>
      <c r="F38" s="59"/>
      <c r="G38" s="59"/>
      <c r="H38" s="59"/>
      <c r="I38" s="59"/>
      <c r="J38" s="59"/>
      <c r="K38" s="59"/>
      <c r="L38" s="59"/>
    </row>
    <row r="39">
      <c r="A39" s="59"/>
      <c r="B39" s="59"/>
      <c r="C39" s="59"/>
      <c r="D39" s="59"/>
      <c r="E39" s="59"/>
      <c r="F39" s="59"/>
      <c r="G39" s="59"/>
      <c r="H39" s="59"/>
      <c r="I39" s="59"/>
      <c r="J39" s="59"/>
      <c r="K39" s="59"/>
      <c r="L39" s="59"/>
    </row>
    <row r="40">
      <c r="A40" s="59"/>
      <c r="B40" s="59"/>
      <c r="C40" s="59"/>
      <c r="D40" s="59"/>
      <c r="E40" s="59"/>
      <c r="F40" s="59"/>
      <c r="G40" s="59"/>
      <c r="H40" s="59"/>
      <c r="I40" s="59"/>
      <c r="J40" s="59"/>
      <c r="K40" s="59"/>
      <c r="L40" s="59"/>
    </row>
    <row r="41">
      <c r="A41" s="59"/>
      <c r="B41" s="59"/>
      <c r="C41" s="59"/>
      <c r="D41" s="59"/>
      <c r="E41" s="59"/>
      <c r="F41" s="59"/>
      <c r="G41" s="59"/>
      <c r="H41" s="59"/>
      <c r="I41" s="59"/>
      <c r="J41" s="59"/>
      <c r="K41" s="59"/>
      <c r="L41" s="59"/>
    </row>
    <row r="42">
      <c r="A42" s="59"/>
      <c r="B42" s="59"/>
      <c r="C42" s="59"/>
      <c r="D42" s="59"/>
      <c r="E42" s="59"/>
      <c r="F42" s="59"/>
      <c r="G42" s="59"/>
      <c r="H42" s="59"/>
      <c r="I42" s="59"/>
      <c r="J42" s="59"/>
      <c r="K42" s="59"/>
      <c r="L42" s="59"/>
    </row>
    <row r="43">
      <c r="A43" s="59"/>
      <c r="B43" s="59"/>
      <c r="C43" s="59"/>
      <c r="D43" s="59"/>
      <c r="E43" s="59"/>
      <c r="F43" s="59"/>
      <c r="G43" s="59"/>
      <c r="H43" s="59"/>
      <c r="I43" s="59"/>
      <c r="J43" s="59"/>
      <c r="K43" s="59"/>
      <c r="L43" s="59"/>
    </row>
    <row r="44">
      <c r="A44" s="59"/>
      <c r="B44" s="59"/>
      <c r="C44" s="59"/>
      <c r="D44" s="59"/>
      <c r="E44" s="59"/>
      <c r="F44" s="59"/>
      <c r="G44" s="59"/>
      <c r="H44" s="59"/>
      <c r="I44" s="59"/>
      <c r="J44" s="59"/>
      <c r="K44" s="59"/>
      <c r="L44" s="59"/>
    </row>
    <row r="45">
      <c r="A45" s="59"/>
      <c r="B45" s="59"/>
      <c r="C45" s="59"/>
      <c r="D45" s="59"/>
      <c r="E45" s="59"/>
      <c r="F45" s="59"/>
      <c r="G45" s="59"/>
      <c r="H45" s="59"/>
      <c r="I45" s="59"/>
      <c r="J45" s="59"/>
      <c r="K45" s="59"/>
      <c r="L45" s="59"/>
    </row>
    <row r="46">
      <c r="A46" s="59"/>
      <c r="B46" s="59"/>
      <c r="C46" s="59"/>
      <c r="D46" s="59"/>
      <c r="E46" s="59"/>
      <c r="F46" s="59"/>
      <c r="G46" s="59"/>
      <c r="H46" s="59"/>
      <c r="I46" s="59"/>
      <c r="J46" s="59"/>
      <c r="K46" s="59"/>
      <c r="L46" s="59"/>
    </row>
    <row r="47">
      <c r="A47" s="59"/>
      <c r="B47" s="59"/>
      <c r="C47" s="59"/>
      <c r="D47" s="59"/>
      <c r="E47" s="59"/>
      <c r="F47" s="59"/>
      <c r="G47" s="59"/>
      <c r="H47" s="59"/>
      <c r="I47" s="59"/>
      <c r="J47" s="59"/>
      <c r="K47" s="59"/>
      <c r="L47" s="59"/>
    </row>
    <row r="48">
      <c r="A48" s="59"/>
      <c r="B48" s="59"/>
      <c r="C48" s="59"/>
      <c r="D48" s="59"/>
      <c r="E48" s="59"/>
      <c r="F48" s="59"/>
      <c r="G48" s="59"/>
      <c r="H48" s="59"/>
      <c r="I48" s="59"/>
      <c r="J48" s="59"/>
      <c r="K48" s="59"/>
      <c r="L48" s="59"/>
    </row>
    <row r="49">
      <c r="A49" s="59"/>
      <c r="B49" s="59"/>
      <c r="C49" s="59"/>
      <c r="D49" s="59"/>
      <c r="E49" s="59"/>
      <c r="F49" s="59"/>
      <c r="G49" s="59"/>
      <c r="H49" s="59"/>
      <c r="I49" s="59"/>
      <c r="J49" s="59"/>
      <c r="K49" s="59"/>
      <c r="L49" s="59"/>
    </row>
    <row r="50">
      <c r="A50" s="59"/>
      <c r="B50" s="59"/>
      <c r="C50" s="59"/>
      <c r="D50" s="59"/>
      <c r="E50" s="59"/>
      <c r="F50" s="59"/>
      <c r="G50" s="59"/>
      <c r="H50" s="59"/>
      <c r="I50" s="59"/>
      <c r="J50" s="59"/>
      <c r="K50" s="59"/>
      <c r="L50" s="59"/>
    </row>
    <row r="51">
      <c r="A51" s="59"/>
      <c r="B51" s="59"/>
      <c r="C51" s="59"/>
      <c r="D51" s="59"/>
      <c r="E51" s="59"/>
      <c r="F51" s="59"/>
      <c r="G51" s="59"/>
      <c r="H51" s="59"/>
      <c r="I51" s="59"/>
      <c r="J51" s="59"/>
      <c r="K51" s="59"/>
      <c r="L51" s="59"/>
    </row>
    <row r="52">
      <c r="A52" s="59"/>
      <c r="B52" s="59"/>
      <c r="C52" s="59"/>
      <c r="D52" s="59"/>
      <c r="E52" s="59"/>
      <c r="F52" s="59"/>
      <c r="G52" s="59"/>
      <c r="H52" s="59"/>
      <c r="I52" s="59"/>
      <c r="J52" s="59"/>
      <c r="K52" s="59"/>
      <c r="L52" s="59"/>
    </row>
    <row r="53">
      <c r="A53" s="59"/>
      <c r="B53" s="59"/>
      <c r="C53" s="59"/>
      <c r="D53" s="59"/>
      <c r="E53" s="59"/>
      <c r="F53" s="59"/>
      <c r="G53" s="59"/>
      <c r="H53" s="59"/>
      <c r="I53" s="59"/>
      <c r="J53" s="59"/>
      <c r="K53" s="59"/>
      <c r="L53" s="59"/>
    </row>
    <row r="54">
      <c r="A54" s="59"/>
      <c r="B54" s="59"/>
      <c r="C54" s="59"/>
      <c r="D54" s="59"/>
      <c r="E54" s="59"/>
      <c r="F54" s="59"/>
      <c r="G54" s="59"/>
      <c r="H54" s="59"/>
      <c r="I54" s="59"/>
      <c r="J54" s="59"/>
      <c r="K54" s="59"/>
      <c r="L54" s="59"/>
    </row>
    <row r="55">
      <c r="A55" s="59"/>
      <c r="B55" s="59"/>
      <c r="C55" s="59"/>
      <c r="D55" s="59"/>
      <c r="E55" s="59"/>
      <c r="F55" s="59"/>
      <c r="G55" s="59"/>
      <c r="H55" s="59"/>
      <c r="I55" s="59"/>
      <c r="J55" s="59"/>
      <c r="K55" s="59"/>
      <c r="L55" s="59"/>
    </row>
    <row r="56">
      <c r="A56" s="59"/>
      <c r="B56" s="59"/>
      <c r="C56" s="59"/>
      <c r="D56" s="59"/>
      <c r="E56" s="59"/>
      <c r="F56" s="59"/>
      <c r="G56" s="59"/>
      <c r="H56" s="59"/>
      <c r="I56" s="59"/>
      <c r="J56" s="59"/>
      <c r="K56" s="59"/>
      <c r="L56" s="59"/>
    </row>
    <row r="57">
      <c r="A57" s="59"/>
      <c r="B57" s="59"/>
      <c r="C57" s="59"/>
      <c r="D57" s="59"/>
      <c r="E57" s="59"/>
      <c r="F57" s="59"/>
      <c r="G57" s="59"/>
      <c r="H57" s="59"/>
      <c r="I57" s="59"/>
      <c r="J57" s="59"/>
      <c r="K57" s="59"/>
      <c r="L57" s="59"/>
    </row>
    <row r="58">
      <c r="A58" s="59"/>
      <c r="B58" s="59"/>
      <c r="C58" s="59"/>
      <c r="D58" s="59"/>
      <c r="E58" s="59"/>
      <c r="F58" s="59"/>
      <c r="G58" s="59"/>
      <c r="H58" s="59"/>
      <c r="I58" s="59"/>
      <c r="J58" s="59"/>
      <c r="K58" s="59"/>
      <c r="L58" s="59"/>
    </row>
    <row r="59">
      <c r="A59" s="59"/>
      <c r="B59" s="59"/>
      <c r="C59" s="59"/>
      <c r="D59" s="59"/>
      <c r="E59" s="59"/>
      <c r="F59" s="59"/>
      <c r="G59" s="59"/>
      <c r="H59" s="59"/>
      <c r="I59" s="59"/>
      <c r="J59" s="59"/>
      <c r="K59" s="59"/>
      <c r="L59" s="59"/>
    </row>
    <row r="60">
      <c r="A60" s="59"/>
      <c r="B60" s="59"/>
      <c r="C60" s="59"/>
      <c r="D60" s="59"/>
      <c r="E60" s="59"/>
      <c r="F60" s="59"/>
      <c r="G60" s="59"/>
      <c r="H60" s="59"/>
      <c r="I60" s="59"/>
      <c r="J60" s="59"/>
      <c r="K60" s="59"/>
      <c r="L60" s="59"/>
    </row>
    <row r="61">
      <c r="A61" s="59"/>
      <c r="B61" s="59"/>
      <c r="C61" s="59"/>
      <c r="D61" s="59"/>
      <c r="E61" s="59"/>
      <c r="F61" s="59"/>
      <c r="G61" s="59"/>
      <c r="H61" s="59"/>
      <c r="I61" s="59"/>
      <c r="J61" s="59"/>
      <c r="K61" s="59"/>
      <c r="L61" s="59"/>
    </row>
    <row r="62">
      <c r="A62" s="59"/>
      <c r="B62" s="59"/>
      <c r="C62" s="59"/>
      <c r="D62" s="59"/>
      <c r="E62" s="59"/>
      <c r="F62" s="59"/>
      <c r="G62" s="59"/>
      <c r="H62" s="59"/>
      <c r="I62" s="59"/>
      <c r="J62" s="59"/>
      <c r="K62" s="59"/>
      <c r="L62" s="59"/>
    </row>
    <row r="63">
      <c r="A63" s="59"/>
      <c r="B63" s="59"/>
      <c r="C63" s="59"/>
      <c r="D63" s="59"/>
      <c r="E63" s="59"/>
      <c r="F63" s="59"/>
      <c r="G63" s="59"/>
      <c r="H63" s="59"/>
      <c r="I63" s="59"/>
      <c r="J63" s="59"/>
      <c r="K63" s="59"/>
      <c r="L63" s="59"/>
    </row>
    <row r="64">
      <c r="A64" s="59"/>
      <c r="B64" s="59"/>
      <c r="C64" s="59"/>
      <c r="D64" s="59"/>
      <c r="E64" s="59"/>
      <c r="F64" s="59"/>
      <c r="G64" s="59"/>
      <c r="H64" s="59"/>
      <c r="I64" s="59"/>
      <c r="J64" s="59"/>
      <c r="K64" s="59"/>
      <c r="L64" s="59"/>
    </row>
    <row r="65">
      <c r="A65" s="59"/>
      <c r="B65" s="59"/>
      <c r="C65" s="59"/>
      <c r="D65" s="59"/>
      <c r="E65" s="59"/>
      <c r="F65" s="59"/>
      <c r="G65" s="59"/>
      <c r="H65" s="59"/>
      <c r="I65" s="59"/>
      <c r="J65" s="59"/>
      <c r="K65" s="59"/>
      <c r="L65" s="59"/>
    </row>
    <row r="66">
      <c r="A66" s="59"/>
      <c r="B66" s="59"/>
      <c r="C66" s="59"/>
      <c r="D66" s="59"/>
      <c r="E66" s="59"/>
      <c r="F66" s="59"/>
      <c r="G66" s="59"/>
      <c r="H66" s="59"/>
      <c r="I66" s="59"/>
      <c r="J66" s="59"/>
      <c r="K66" s="59"/>
      <c r="L66" s="59"/>
    </row>
    <row r="67">
      <c r="A67" s="59"/>
      <c r="B67" s="59"/>
      <c r="C67" s="59"/>
      <c r="D67" s="59"/>
      <c r="E67" s="59"/>
      <c r="F67" s="59"/>
      <c r="G67" s="59"/>
      <c r="H67" s="59"/>
      <c r="I67" s="59"/>
      <c r="J67" s="59"/>
      <c r="K67" s="59"/>
      <c r="L67" s="59"/>
    </row>
    <row r="68">
      <c r="A68" s="59"/>
      <c r="B68" s="59"/>
      <c r="C68" s="59"/>
      <c r="D68" s="59"/>
      <c r="E68" s="59"/>
      <c r="F68" s="59"/>
      <c r="G68" s="59"/>
      <c r="H68" s="59"/>
      <c r="I68" s="59"/>
      <c r="J68" s="59"/>
      <c r="K68" s="59"/>
      <c r="L68" s="59"/>
    </row>
    <row r="69">
      <c r="A69" s="59"/>
      <c r="B69" s="59"/>
      <c r="C69" s="59"/>
      <c r="D69" s="59"/>
      <c r="E69" s="59"/>
      <c r="F69" s="59"/>
      <c r="G69" s="59"/>
      <c r="H69" s="59"/>
      <c r="I69" s="59"/>
      <c r="J69" s="59"/>
      <c r="K69" s="59"/>
      <c r="L69" s="59"/>
    </row>
    <row r="70">
      <c r="A70" s="59"/>
      <c r="B70" s="59"/>
      <c r="C70" s="59"/>
      <c r="D70" s="59"/>
      <c r="E70" s="59"/>
      <c r="F70" s="59"/>
      <c r="G70" s="59"/>
      <c r="H70" s="59"/>
      <c r="I70" s="59"/>
      <c r="J70" s="59"/>
      <c r="K70" s="59"/>
      <c r="L70" s="59"/>
    </row>
    <row r="71">
      <c r="A71" s="59"/>
      <c r="B71" s="59"/>
      <c r="C71" s="59"/>
      <c r="D71" s="59"/>
      <c r="E71" s="59"/>
      <c r="F71" s="59"/>
      <c r="G71" s="59"/>
      <c r="H71" s="59"/>
      <c r="I71" s="59"/>
      <c r="J71" s="59"/>
      <c r="K71" s="59"/>
      <c r="L71" s="59"/>
    </row>
    <row r="72">
      <c r="A72" s="59"/>
      <c r="B72" s="59"/>
      <c r="C72" s="59"/>
      <c r="D72" s="59"/>
      <c r="E72" s="59"/>
      <c r="F72" s="59"/>
      <c r="G72" s="59"/>
      <c r="H72" s="59"/>
      <c r="I72" s="59"/>
      <c r="J72" s="59"/>
      <c r="K72" s="59"/>
      <c r="L72" s="59"/>
    </row>
    <row r="73">
      <c r="A73" s="59"/>
      <c r="B73" s="59"/>
      <c r="C73" s="59"/>
      <c r="D73" s="59"/>
      <c r="E73" s="59"/>
      <c r="F73" s="59"/>
      <c r="G73" s="59"/>
      <c r="H73" s="59"/>
      <c r="I73" s="59"/>
      <c r="J73" s="59"/>
      <c r="K73" s="59"/>
      <c r="L73" s="59"/>
    </row>
    <row r="74">
      <c r="A74" s="59"/>
      <c r="B74" s="59"/>
      <c r="C74" s="59"/>
      <c r="D74" s="59"/>
      <c r="E74" s="59"/>
      <c r="F74" s="59"/>
      <c r="G74" s="59"/>
      <c r="H74" s="59"/>
      <c r="I74" s="59"/>
      <c r="J74" s="59"/>
      <c r="K74" s="59"/>
      <c r="L74" s="59"/>
    </row>
    <row r="75">
      <c r="A75" s="59"/>
      <c r="B75" s="59"/>
      <c r="C75" s="59"/>
      <c r="D75" s="59"/>
      <c r="E75" s="59"/>
      <c r="F75" s="59"/>
      <c r="G75" s="59"/>
      <c r="H75" s="59"/>
      <c r="I75" s="59"/>
      <c r="J75" s="59"/>
      <c r="K75" s="59"/>
      <c r="L75" s="59"/>
    </row>
    <row r="76">
      <c r="A76" s="59"/>
      <c r="B76" s="59"/>
      <c r="C76" s="59"/>
      <c r="D76" s="59"/>
      <c r="E76" s="59"/>
      <c r="F76" s="59"/>
      <c r="G76" s="59"/>
      <c r="H76" s="59"/>
      <c r="I76" s="59"/>
      <c r="J76" s="59"/>
      <c r="K76" s="59"/>
      <c r="L76" s="59"/>
    </row>
    <row r="77">
      <c r="A77" s="59"/>
      <c r="B77" s="59"/>
      <c r="C77" s="59"/>
      <c r="D77" s="59"/>
      <c r="E77" s="59"/>
      <c r="F77" s="59"/>
      <c r="G77" s="59"/>
      <c r="H77" s="59"/>
      <c r="I77" s="59"/>
      <c r="J77" s="59"/>
      <c r="K77" s="59"/>
      <c r="L77" s="59"/>
    </row>
    <row r="78">
      <c r="A78" s="59"/>
      <c r="B78" s="59"/>
      <c r="C78" s="59"/>
      <c r="D78" s="59"/>
      <c r="E78" s="59"/>
      <c r="F78" s="59"/>
      <c r="G78" s="59"/>
      <c r="H78" s="59"/>
      <c r="I78" s="59"/>
      <c r="J78" s="59"/>
      <c r="K78" s="59"/>
      <c r="L78" s="59"/>
    </row>
    <row r="79">
      <c r="A79" s="59"/>
      <c r="B79" s="59"/>
      <c r="C79" s="59"/>
      <c r="D79" s="59"/>
      <c r="E79" s="59"/>
      <c r="F79" s="59"/>
      <c r="G79" s="59"/>
      <c r="H79" s="59"/>
      <c r="I79" s="59"/>
      <c r="J79" s="59"/>
      <c r="K79" s="59"/>
      <c r="L79" s="59"/>
    </row>
    <row r="80">
      <c r="A80" s="59"/>
      <c r="B80" s="59"/>
      <c r="C80" s="59"/>
      <c r="D80" s="59"/>
      <c r="E80" s="59"/>
      <c r="F80" s="59"/>
      <c r="G80" s="59"/>
      <c r="H80" s="59"/>
      <c r="I80" s="59"/>
      <c r="J80" s="59"/>
      <c r="K80" s="59"/>
      <c r="L80" s="59"/>
    </row>
    <row r="81">
      <c r="A81" s="59"/>
      <c r="B81" s="59"/>
      <c r="C81" s="59"/>
      <c r="D81" s="59"/>
      <c r="E81" s="59"/>
      <c r="F81" s="59"/>
      <c r="G81" s="59"/>
      <c r="H81" s="59"/>
      <c r="I81" s="59"/>
      <c r="J81" s="59"/>
      <c r="K81" s="59"/>
      <c r="L81" s="59"/>
    </row>
    <row r="82">
      <c r="A82" s="59"/>
      <c r="B82" s="59"/>
      <c r="C82" s="59"/>
      <c r="D82" s="59"/>
      <c r="E82" s="59"/>
      <c r="F82" s="59"/>
      <c r="G82" s="59"/>
      <c r="H82" s="59"/>
      <c r="I82" s="59"/>
      <c r="J82" s="59"/>
      <c r="K82" s="59"/>
      <c r="L82" s="59"/>
    </row>
    <row r="83">
      <c r="A83" s="59"/>
      <c r="B83" s="59"/>
      <c r="C83" s="59"/>
      <c r="D83" s="59"/>
      <c r="E83" s="59"/>
      <c r="F83" s="59"/>
      <c r="G83" s="59"/>
      <c r="H83" s="59"/>
      <c r="I83" s="59"/>
      <c r="J83" s="59"/>
      <c r="K83" s="59"/>
      <c r="L83" s="59"/>
    </row>
    <row r="84">
      <c r="A84" s="59"/>
      <c r="B84" s="59"/>
      <c r="C84" s="59"/>
      <c r="D84" s="59"/>
      <c r="E84" s="59"/>
      <c r="F84" s="59"/>
      <c r="G84" s="59"/>
      <c r="H84" s="59"/>
      <c r="I84" s="59"/>
      <c r="J84" s="59"/>
      <c r="K84" s="59"/>
      <c r="L84" s="59"/>
    </row>
    <row r="85">
      <c r="A85" s="59"/>
      <c r="B85" s="59"/>
      <c r="C85" s="59"/>
      <c r="D85" s="59"/>
      <c r="E85" s="59"/>
      <c r="F85" s="59"/>
      <c r="G85" s="59"/>
      <c r="H85" s="59"/>
      <c r="I85" s="59"/>
      <c r="J85" s="59"/>
      <c r="K85" s="59"/>
      <c r="L85" s="59"/>
    </row>
    <row r="86">
      <c r="A86" s="59"/>
      <c r="B86" s="59"/>
      <c r="C86" s="59"/>
      <c r="D86" s="59"/>
      <c r="E86" s="59"/>
      <c r="F86" s="59"/>
      <c r="G86" s="59"/>
      <c r="H86" s="59"/>
      <c r="I86" s="59"/>
      <c r="J86" s="59"/>
      <c r="K86" s="59"/>
      <c r="L86" s="59"/>
    </row>
    <row r="87">
      <c r="A87" s="59"/>
      <c r="B87" s="59"/>
      <c r="C87" s="59"/>
      <c r="D87" s="59"/>
      <c r="E87" s="59"/>
      <c r="F87" s="59"/>
      <c r="G87" s="59"/>
      <c r="H87" s="59"/>
      <c r="I87" s="59"/>
      <c r="J87" s="59"/>
      <c r="K87" s="59"/>
      <c r="L87" s="59"/>
    </row>
    <row r="88">
      <c r="A88" s="59"/>
      <c r="B88" s="59"/>
      <c r="C88" s="59"/>
      <c r="D88" s="59"/>
      <c r="E88" s="59"/>
      <c r="F88" s="59"/>
      <c r="G88" s="59"/>
      <c r="H88" s="59"/>
      <c r="I88" s="59"/>
      <c r="J88" s="59"/>
      <c r="K88" s="59"/>
      <c r="L88" s="59"/>
    </row>
    <row r="89">
      <c r="A89" s="59"/>
      <c r="B89" s="59"/>
      <c r="C89" s="59"/>
      <c r="D89" s="59"/>
      <c r="E89" s="59"/>
      <c r="F89" s="59"/>
      <c r="G89" s="59"/>
      <c r="H89" s="59"/>
      <c r="I89" s="59"/>
      <c r="J89" s="59"/>
      <c r="K89" s="59"/>
      <c r="L89" s="59"/>
    </row>
    <row r="90">
      <c r="A90" s="59"/>
      <c r="B90" s="59"/>
      <c r="C90" s="59"/>
      <c r="D90" s="59"/>
      <c r="E90" s="59"/>
      <c r="F90" s="59"/>
      <c r="G90" s="59"/>
      <c r="H90" s="59"/>
      <c r="I90" s="59"/>
      <c r="J90" s="59"/>
      <c r="K90" s="59"/>
      <c r="L90" s="59"/>
    </row>
    <row r="91">
      <c r="A91" s="59"/>
      <c r="B91" s="59"/>
      <c r="C91" s="59"/>
      <c r="D91" s="59"/>
      <c r="E91" s="59"/>
      <c r="F91" s="59"/>
      <c r="G91" s="59"/>
      <c r="H91" s="59"/>
      <c r="I91" s="59"/>
      <c r="J91" s="59"/>
      <c r="K91" s="59"/>
      <c r="L91" s="59"/>
    </row>
    <row r="92">
      <c r="A92" s="59"/>
      <c r="B92" s="59"/>
      <c r="C92" s="59"/>
      <c r="D92" s="59"/>
      <c r="E92" s="59"/>
      <c r="F92" s="59"/>
      <c r="G92" s="59"/>
      <c r="H92" s="59"/>
      <c r="I92" s="59"/>
      <c r="J92" s="59"/>
      <c r="K92" s="59"/>
      <c r="L92" s="59"/>
    </row>
    <row r="93">
      <c r="A93" s="59"/>
      <c r="B93" s="59"/>
      <c r="C93" s="59"/>
      <c r="D93" s="59"/>
      <c r="E93" s="59"/>
      <c r="F93" s="59"/>
      <c r="G93" s="59"/>
      <c r="H93" s="59"/>
      <c r="I93" s="59"/>
      <c r="J93" s="59"/>
      <c r="K93" s="59"/>
      <c r="L93" s="59"/>
    </row>
    <row r="94">
      <c r="A94" s="59"/>
      <c r="B94" s="59"/>
      <c r="C94" s="59"/>
      <c r="D94" s="59"/>
      <c r="E94" s="59"/>
      <c r="F94" s="59"/>
      <c r="G94" s="59"/>
      <c r="H94" s="59"/>
      <c r="I94" s="59"/>
      <c r="J94" s="59"/>
      <c r="K94" s="59"/>
      <c r="L94" s="59"/>
    </row>
    <row r="95">
      <c r="A95" s="59"/>
      <c r="B95" s="59"/>
      <c r="C95" s="59"/>
      <c r="D95" s="59"/>
      <c r="E95" s="59"/>
      <c r="F95" s="59"/>
      <c r="G95" s="59"/>
      <c r="H95" s="59"/>
      <c r="I95" s="59"/>
      <c r="J95" s="59"/>
      <c r="K95" s="59"/>
      <c r="L95" s="59"/>
    </row>
    <row r="96">
      <c r="A96" s="59"/>
      <c r="B96" s="59"/>
      <c r="C96" s="59"/>
      <c r="D96" s="59"/>
      <c r="E96" s="59"/>
      <c r="F96" s="59"/>
      <c r="G96" s="59"/>
      <c r="H96" s="59"/>
      <c r="I96" s="59"/>
      <c r="J96" s="59"/>
      <c r="K96" s="59"/>
      <c r="L96" s="59"/>
    </row>
    <row r="97">
      <c r="A97" s="59"/>
      <c r="B97" s="59"/>
      <c r="C97" s="59"/>
      <c r="D97" s="59"/>
      <c r="E97" s="59"/>
      <c r="F97" s="59"/>
      <c r="G97" s="59"/>
      <c r="H97" s="59"/>
      <c r="I97" s="59"/>
      <c r="J97" s="59"/>
      <c r="K97" s="59"/>
      <c r="L97" s="59"/>
    </row>
    <row r="98">
      <c r="A98" s="59"/>
      <c r="B98" s="59"/>
      <c r="C98" s="59"/>
      <c r="D98" s="59"/>
      <c r="E98" s="59"/>
      <c r="F98" s="59"/>
      <c r="G98" s="59"/>
      <c r="H98" s="59"/>
      <c r="I98" s="59"/>
      <c r="J98" s="59"/>
      <c r="K98" s="59"/>
      <c r="L98" s="59"/>
    </row>
    <row r="99">
      <c r="A99" s="59"/>
      <c r="B99" s="59"/>
      <c r="C99" s="59"/>
      <c r="D99" s="59"/>
      <c r="E99" s="59"/>
      <c r="F99" s="59"/>
      <c r="G99" s="59"/>
      <c r="H99" s="59"/>
      <c r="I99" s="59"/>
      <c r="J99" s="59"/>
      <c r="K99" s="59"/>
      <c r="L99" s="59"/>
    </row>
    <row r="100">
      <c r="A100" s="59"/>
      <c r="B100" s="59"/>
      <c r="C100" s="59"/>
      <c r="D100" s="59"/>
      <c r="E100" s="59"/>
      <c r="F100" s="59"/>
      <c r="G100" s="59"/>
      <c r="H100" s="59"/>
      <c r="I100" s="59"/>
      <c r="J100" s="59"/>
      <c r="K100" s="59"/>
      <c r="L100" s="59"/>
    </row>
    <row r="101">
      <c r="A101" s="59"/>
      <c r="B101" s="59"/>
      <c r="C101" s="59"/>
      <c r="D101" s="59"/>
      <c r="E101" s="59"/>
      <c r="F101" s="59"/>
      <c r="G101" s="59"/>
      <c r="H101" s="59"/>
      <c r="I101" s="59"/>
      <c r="J101" s="59"/>
      <c r="K101" s="59"/>
      <c r="L101" s="59"/>
    </row>
    <row r="102">
      <c r="A102" s="59"/>
      <c r="B102" s="59"/>
      <c r="C102" s="59"/>
      <c r="D102" s="59"/>
      <c r="E102" s="59"/>
      <c r="F102" s="59"/>
      <c r="G102" s="59"/>
      <c r="H102" s="59"/>
      <c r="I102" s="59"/>
      <c r="J102" s="59"/>
      <c r="K102" s="59"/>
      <c r="L102" s="59"/>
    </row>
    <row r="103">
      <c r="A103" s="59"/>
      <c r="B103" s="59"/>
      <c r="C103" s="59"/>
      <c r="D103" s="59"/>
      <c r="E103" s="59"/>
      <c r="F103" s="59"/>
      <c r="G103" s="59"/>
      <c r="H103" s="59"/>
      <c r="I103" s="59"/>
      <c r="J103" s="59"/>
      <c r="K103" s="59"/>
      <c r="L103" s="59"/>
    </row>
    <row r="104">
      <c r="A104" s="59"/>
      <c r="B104" s="59"/>
      <c r="C104" s="59"/>
      <c r="D104" s="59"/>
      <c r="E104" s="59"/>
      <c r="F104" s="59"/>
      <c r="G104" s="59"/>
      <c r="H104" s="59"/>
      <c r="I104" s="59"/>
      <c r="J104" s="59"/>
      <c r="K104" s="59"/>
      <c r="L104" s="59"/>
    </row>
    <row r="105">
      <c r="A105" s="59"/>
      <c r="B105" s="59"/>
      <c r="C105" s="59"/>
      <c r="D105" s="59"/>
      <c r="E105" s="59"/>
      <c r="F105" s="59"/>
      <c r="G105" s="59"/>
      <c r="H105" s="59"/>
      <c r="I105" s="59"/>
      <c r="J105" s="59"/>
      <c r="K105" s="59"/>
      <c r="L105" s="59"/>
    </row>
    <row r="106">
      <c r="A106" s="59"/>
      <c r="B106" s="59"/>
      <c r="C106" s="59"/>
      <c r="D106" s="59"/>
      <c r="E106" s="59"/>
      <c r="F106" s="59"/>
      <c r="G106" s="59"/>
      <c r="H106" s="59"/>
      <c r="I106" s="59"/>
      <c r="J106" s="59"/>
      <c r="K106" s="59"/>
      <c r="L106" s="59"/>
    </row>
    <row r="107">
      <c r="A107" s="59"/>
      <c r="B107" s="59"/>
      <c r="C107" s="59"/>
      <c r="D107" s="59"/>
      <c r="E107" s="59"/>
      <c r="F107" s="59"/>
      <c r="G107" s="59"/>
      <c r="H107" s="59"/>
      <c r="I107" s="59"/>
      <c r="J107" s="59"/>
      <c r="K107" s="59"/>
      <c r="L107" s="59"/>
    </row>
    <row r="108">
      <c r="A108" s="59"/>
      <c r="B108" s="59"/>
      <c r="C108" s="59"/>
      <c r="D108" s="59"/>
      <c r="E108" s="59"/>
      <c r="F108" s="59"/>
      <c r="G108" s="59"/>
      <c r="H108" s="59"/>
      <c r="I108" s="59"/>
      <c r="J108" s="59"/>
      <c r="K108" s="59"/>
      <c r="L108" s="59"/>
    </row>
    <row r="109">
      <c r="A109" s="59"/>
      <c r="B109" s="59"/>
      <c r="C109" s="59"/>
      <c r="D109" s="59"/>
      <c r="E109" s="59"/>
      <c r="F109" s="59"/>
      <c r="G109" s="59"/>
      <c r="H109" s="59"/>
      <c r="I109" s="59"/>
      <c r="J109" s="59"/>
      <c r="K109" s="59"/>
      <c r="L109" s="59"/>
    </row>
    <row r="110">
      <c r="A110" s="59"/>
      <c r="B110" s="59"/>
      <c r="C110" s="59"/>
      <c r="D110" s="59"/>
      <c r="E110" s="59"/>
      <c r="F110" s="59"/>
      <c r="G110" s="59"/>
      <c r="H110" s="59"/>
      <c r="I110" s="59"/>
      <c r="J110" s="59"/>
      <c r="K110" s="59"/>
      <c r="L110" s="59"/>
    </row>
    <row r="111">
      <c r="A111" s="59"/>
      <c r="B111" s="59"/>
      <c r="C111" s="59"/>
      <c r="D111" s="59"/>
      <c r="E111" s="59"/>
      <c r="F111" s="59"/>
      <c r="G111" s="59"/>
      <c r="H111" s="59"/>
      <c r="I111" s="59"/>
      <c r="J111" s="59"/>
      <c r="K111" s="59"/>
      <c r="L111" s="59"/>
    </row>
    <row r="112">
      <c r="A112" s="59"/>
      <c r="B112" s="59"/>
      <c r="C112" s="59"/>
      <c r="D112" s="59"/>
      <c r="E112" s="59"/>
      <c r="F112" s="59"/>
      <c r="G112" s="59"/>
      <c r="H112" s="59"/>
      <c r="I112" s="59"/>
      <c r="J112" s="59"/>
      <c r="K112" s="59"/>
      <c r="L112" s="59"/>
    </row>
    <row r="113">
      <c r="A113" s="59"/>
      <c r="B113" s="59"/>
      <c r="C113" s="59"/>
      <c r="D113" s="59"/>
      <c r="E113" s="59"/>
      <c r="F113" s="59"/>
      <c r="G113" s="59"/>
      <c r="H113" s="59"/>
      <c r="I113" s="59"/>
      <c r="J113" s="59"/>
      <c r="K113" s="59"/>
      <c r="L113" s="59"/>
    </row>
    <row r="114">
      <c r="A114" s="59"/>
      <c r="B114" s="59"/>
      <c r="C114" s="59"/>
      <c r="D114" s="59"/>
      <c r="E114" s="59"/>
      <c r="F114" s="59"/>
      <c r="G114" s="59"/>
      <c r="H114" s="59"/>
      <c r="I114" s="59"/>
      <c r="J114" s="59"/>
      <c r="K114" s="59"/>
      <c r="L114" s="59"/>
    </row>
    <row r="115">
      <c r="A115" s="59"/>
      <c r="B115" s="59"/>
      <c r="C115" s="59"/>
      <c r="D115" s="59"/>
      <c r="E115" s="59"/>
      <c r="F115" s="59"/>
      <c r="G115" s="59"/>
      <c r="H115" s="59"/>
      <c r="I115" s="59"/>
      <c r="J115" s="59"/>
      <c r="K115" s="59"/>
      <c r="L115" s="59"/>
    </row>
    <row r="116">
      <c r="A116" s="59"/>
      <c r="B116" s="59"/>
      <c r="C116" s="59"/>
      <c r="D116" s="59"/>
      <c r="E116" s="59"/>
      <c r="F116" s="59"/>
      <c r="G116" s="59"/>
      <c r="H116" s="59"/>
      <c r="I116" s="59"/>
      <c r="J116" s="59"/>
      <c r="K116" s="59"/>
      <c r="L116" s="59"/>
    </row>
    <row r="117">
      <c r="A117" s="59"/>
      <c r="B117" s="59"/>
      <c r="C117" s="59"/>
      <c r="D117" s="59"/>
      <c r="E117" s="59"/>
      <c r="F117" s="59"/>
      <c r="G117" s="59"/>
      <c r="H117" s="59"/>
      <c r="I117" s="59"/>
      <c r="J117" s="59"/>
      <c r="K117" s="59"/>
      <c r="L117" s="59"/>
    </row>
    <row r="118">
      <c r="A118" s="59"/>
      <c r="B118" s="59"/>
      <c r="C118" s="59"/>
      <c r="D118" s="59"/>
      <c r="E118" s="59"/>
      <c r="F118" s="59"/>
      <c r="G118" s="59"/>
      <c r="H118" s="59"/>
      <c r="I118" s="59"/>
      <c r="J118" s="59"/>
      <c r="K118" s="59"/>
      <c r="L118" s="59"/>
    </row>
    <row r="119">
      <c r="A119" s="59"/>
      <c r="B119" s="59"/>
      <c r="C119" s="59"/>
      <c r="D119" s="59"/>
      <c r="E119" s="59"/>
      <c r="F119" s="59"/>
      <c r="G119" s="59"/>
      <c r="H119" s="59"/>
      <c r="I119" s="59"/>
      <c r="J119" s="59"/>
      <c r="K119" s="59"/>
      <c r="L119" s="59"/>
    </row>
    <row r="120">
      <c r="A120" s="59"/>
      <c r="B120" s="59"/>
      <c r="C120" s="59"/>
      <c r="D120" s="59"/>
      <c r="E120" s="59"/>
      <c r="F120" s="59"/>
      <c r="G120" s="59"/>
      <c r="H120" s="59"/>
      <c r="I120" s="59"/>
      <c r="J120" s="59"/>
      <c r="K120" s="59"/>
      <c r="L120" s="59"/>
    </row>
    <row r="121">
      <c r="A121" s="59"/>
      <c r="B121" s="59"/>
      <c r="C121" s="59"/>
      <c r="D121" s="59"/>
      <c r="E121" s="59"/>
      <c r="F121" s="59"/>
      <c r="G121" s="59"/>
      <c r="H121" s="59"/>
      <c r="I121" s="59"/>
      <c r="J121" s="59"/>
      <c r="K121" s="59"/>
      <c r="L121" s="59"/>
    </row>
    <row r="122">
      <c r="A122" s="59"/>
      <c r="B122" s="59"/>
      <c r="C122" s="59"/>
      <c r="D122" s="59"/>
      <c r="E122" s="59"/>
      <c r="F122" s="59"/>
      <c r="G122" s="59"/>
      <c r="H122" s="59"/>
      <c r="I122" s="59"/>
      <c r="J122" s="59"/>
      <c r="K122" s="59"/>
      <c r="L122" s="59"/>
    </row>
    <row r="123">
      <c r="A123" s="59"/>
      <c r="B123" s="59"/>
      <c r="C123" s="59"/>
      <c r="D123" s="59"/>
      <c r="E123" s="59"/>
      <c r="F123" s="59"/>
      <c r="G123" s="59"/>
      <c r="H123" s="59"/>
      <c r="I123" s="59"/>
      <c r="J123" s="59"/>
      <c r="K123" s="59"/>
      <c r="L123" s="59"/>
    </row>
    <row r="124">
      <c r="A124" s="59"/>
      <c r="B124" s="59"/>
      <c r="C124" s="59"/>
      <c r="D124" s="59"/>
      <c r="E124" s="59"/>
      <c r="F124" s="59"/>
      <c r="G124" s="59"/>
      <c r="H124" s="59"/>
      <c r="I124" s="59"/>
      <c r="J124" s="59"/>
      <c r="K124" s="59"/>
      <c r="L124" s="59"/>
    </row>
    <row r="125">
      <c r="A125" s="59"/>
      <c r="B125" s="59"/>
      <c r="C125" s="59"/>
      <c r="D125" s="59"/>
      <c r="E125" s="59"/>
      <c r="F125" s="59"/>
      <c r="G125" s="59"/>
      <c r="H125" s="59"/>
      <c r="I125" s="59"/>
      <c r="J125" s="59"/>
      <c r="K125" s="59"/>
      <c r="L125" s="59"/>
    </row>
    <row r="126">
      <c r="A126" s="59"/>
      <c r="B126" s="59"/>
      <c r="C126" s="59"/>
      <c r="D126" s="59"/>
      <c r="E126" s="59"/>
      <c r="F126" s="59"/>
      <c r="G126" s="59"/>
      <c r="H126" s="59"/>
      <c r="I126" s="59"/>
      <c r="J126" s="59"/>
      <c r="K126" s="59"/>
      <c r="L126" s="59"/>
    </row>
    <row r="127">
      <c r="A127" s="59"/>
      <c r="B127" s="59"/>
      <c r="C127" s="59"/>
      <c r="D127" s="59"/>
      <c r="E127" s="59"/>
      <c r="F127" s="59"/>
      <c r="G127" s="59"/>
      <c r="H127" s="59"/>
      <c r="I127" s="59"/>
      <c r="J127" s="59"/>
      <c r="K127" s="59"/>
      <c r="L127" s="59"/>
    </row>
    <row r="128">
      <c r="A128" s="59"/>
      <c r="B128" s="59"/>
      <c r="C128" s="59"/>
      <c r="D128" s="59"/>
      <c r="E128" s="59"/>
      <c r="F128" s="59"/>
      <c r="G128" s="59"/>
      <c r="H128" s="59"/>
      <c r="I128" s="59"/>
      <c r="J128" s="59"/>
      <c r="K128" s="59"/>
      <c r="L128" s="59"/>
    </row>
    <row r="129">
      <c r="A129" s="59"/>
      <c r="B129" s="59"/>
      <c r="C129" s="59"/>
      <c r="D129" s="59"/>
      <c r="E129" s="59"/>
      <c r="F129" s="59"/>
      <c r="G129" s="59"/>
      <c r="H129" s="59"/>
      <c r="I129" s="59"/>
      <c r="J129" s="59"/>
      <c r="K129" s="59"/>
      <c r="L129" s="59"/>
    </row>
    <row r="130">
      <c r="A130" s="59"/>
      <c r="B130" s="59"/>
      <c r="C130" s="59"/>
      <c r="D130" s="59"/>
      <c r="E130" s="59"/>
      <c r="F130" s="59"/>
      <c r="G130" s="59"/>
      <c r="H130" s="59"/>
      <c r="I130" s="59"/>
      <c r="J130" s="59"/>
      <c r="K130" s="59"/>
      <c r="L130" s="59"/>
    </row>
    <row r="131">
      <c r="A131" s="59"/>
      <c r="B131" s="59"/>
      <c r="C131" s="59"/>
      <c r="D131" s="59"/>
      <c r="E131" s="59"/>
      <c r="F131" s="59"/>
      <c r="G131" s="59"/>
      <c r="H131" s="59"/>
      <c r="I131" s="59"/>
      <c r="J131" s="59"/>
      <c r="K131" s="59"/>
      <c r="L131" s="59"/>
    </row>
    <row r="132">
      <c r="A132" s="59"/>
      <c r="B132" s="59"/>
      <c r="C132" s="59"/>
      <c r="D132" s="59"/>
      <c r="E132" s="59"/>
      <c r="F132" s="59"/>
      <c r="G132" s="59"/>
      <c r="H132" s="59"/>
      <c r="I132" s="59"/>
      <c r="J132" s="59"/>
      <c r="K132" s="59"/>
      <c r="L132" s="59"/>
    </row>
    <row r="133">
      <c r="A133" s="59"/>
      <c r="B133" s="59"/>
      <c r="C133" s="59"/>
      <c r="D133" s="59"/>
      <c r="E133" s="59"/>
      <c r="F133" s="59"/>
      <c r="G133" s="59"/>
      <c r="H133" s="59"/>
      <c r="I133" s="59"/>
      <c r="J133" s="59"/>
      <c r="K133" s="59"/>
      <c r="L133" s="59"/>
    </row>
    <row r="134">
      <c r="A134" s="59"/>
      <c r="B134" s="59"/>
      <c r="C134" s="59"/>
      <c r="D134" s="59"/>
      <c r="E134" s="59"/>
      <c r="F134" s="59"/>
      <c r="G134" s="59"/>
      <c r="H134" s="59"/>
      <c r="I134" s="59"/>
      <c r="J134" s="59"/>
      <c r="K134" s="59"/>
      <c r="L134" s="59"/>
    </row>
    <row r="135">
      <c r="A135" s="59"/>
      <c r="B135" s="59"/>
      <c r="C135" s="59"/>
      <c r="D135" s="59"/>
      <c r="E135" s="59"/>
      <c r="F135" s="59"/>
      <c r="G135" s="59"/>
      <c r="H135" s="59"/>
      <c r="I135" s="59"/>
      <c r="J135" s="59"/>
      <c r="K135" s="59"/>
      <c r="L135" s="59"/>
    </row>
    <row r="136">
      <c r="A136" s="59"/>
      <c r="B136" s="59"/>
      <c r="C136" s="59"/>
      <c r="D136" s="59"/>
      <c r="E136" s="59"/>
      <c r="F136" s="59"/>
      <c r="G136" s="59"/>
      <c r="H136" s="59"/>
      <c r="I136" s="59"/>
      <c r="J136" s="59"/>
      <c r="K136" s="59"/>
      <c r="L136" s="59"/>
    </row>
    <row r="137">
      <c r="A137" s="59"/>
      <c r="B137" s="59"/>
      <c r="C137" s="59"/>
      <c r="D137" s="59"/>
      <c r="E137" s="59"/>
      <c r="F137" s="59"/>
      <c r="G137" s="59"/>
      <c r="H137" s="59"/>
      <c r="I137" s="59"/>
      <c r="J137" s="59"/>
      <c r="K137" s="59"/>
      <c r="L137" s="59"/>
    </row>
    <row r="138">
      <c r="A138" s="59"/>
      <c r="B138" s="59"/>
      <c r="C138" s="59"/>
      <c r="D138" s="59"/>
      <c r="E138" s="59"/>
      <c r="F138" s="59"/>
      <c r="G138" s="59"/>
      <c r="H138" s="59"/>
      <c r="I138" s="59"/>
      <c r="J138" s="59"/>
      <c r="K138" s="59"/>
      <c r="L138" s="59"/>
    </row>
    <row r="139">
      <c r="A139" s="59"/>
      <c r="B139" s="59"/>
      <c r="C139" s="59"/>
      <c r="D139" s="59"/>
      <c r="E139" s="59"/>
      <c r="F139" s="59"/>
      <c r="G139" s="59"/>
      <c r="H139" s="59"/>
      <c r="I139" s="59"/>
      <c r="J139" s="59"/>
      <c r="K139" s="59"/>
      <c r="L139" s="59"/>
    </row>
    <row r="140">
      <c r="A140" s="59"/>
      <c r="B140" s="59"/>
      <c r="C140" s="59"/>
      <c r="D140" s="59"/>
      <c r="E140" s="59"/>
      <c r="F140" s="59"/>
      <c r="G140" s="59"/>
      <c r="H140" s="59"/>
      <c r="I140" s="59"/>
      <c r="J140" s="59"/>
      <c r="K140" s="59"/>
      <c r="L140" s="59"/>
    </row>
    <row r="141">
      <c r="A141" s="59"/>
      <c r="B141" s="59"/>
      <c r="C141" s="59"/>
      <c r="D141" s="59"/>
      <c r="E141" s="59"/>
      <c r="F141" s="59"/>
      <c r="G141" s="59"/>
      <c r="H141" s="59"/>
      <c r="I141" s="59"/>
      <c r="J141" s="59"/>
      <c r="K141" s="59"/>
      <c r="L141" s="59"/>
    </row>
    <row r="142">
      <c r="A142" s="59"/>
      <c r="B142" s="59"/>
      <c r="C142" s="59"/>
      <c r="D142" s="59"/>
      <c r="E142" s="59"/>
      <c r="F142" s="59"/>
      <c r="G142" s="59"/>
      <c r="H142" s="59"/>
      <c r="I142" s="59"/>
      <c r="J142" s="59"/>
      <c r="K142" s="59"/>
      <c r="L142" s="59"/>
    </row>
    <row r="143">
      <c r="A143" s="59"/>
      <c r="B143" s="59"/>
      <c r="C143" s="59"/>
      <c r="D143" s="59"/>
      <c r="E143" s="59"/>
      <c r="F143" s="59"/>
      <c r="G143" s="59"/>
      <c r="H143" s="59"/>
      <c r="I143" s="59"/>
      <c r="J143" s="59"/>
      <c r="K143" s="59"/>
      <c r="L143" s="59"/>
    </row>
    <row r="144">
      <c r="A144" s="59"/>
      <c r="B144" s="59"/>
      <c r="C144" s="59"/>
      <c r="D144" s="59"/>
      <c r="E144" s="59"/>
      <c r="F144" s="59"/>
      <c r="G144" s="59"/>
      <c r="H144" s="59"/>
      <c r="I144" s="59"/>
      <c r="J144" s="59"/>
      <c r="K144" s="59"/>
      <c r="L144" s="59"/>
    </row>
    <row r="145">
      <c r="A145" s="59"/>
      <c r="B145" s="59"/>
      <c r="C145" s="59"/>
      <c r="D145" s="59"/>
      <c r="E145" s="59"/>
      <c r="F145" s="59"/>
      <c r="G145" s="59"/>
      <c r="H145" s="59"/>
      <c r="I145" s="59"/>
      <c r="J145" s="59"/>
      <c r="K145" s="59"/>
      <c r="L145" s="59"/>
    </row>
    <row r="146">
      <c r="A146" s="59"/>
      <c r="B146" s="59"/>
      <c r="C146" s="59"/>
      <c r="D146" s="59"/>
      <c r="E146" s="59"/>
      <c r="F146" s="59"/>
      <c r="G146" s="59"/>
      <c r="H146" s="59"/>
      <c r="I146" s="59"/>
      <c r="J146" s="59"/>
      <c r="K146" s="59"/>
      <c r="L146" s="59"/>
    </row>
    <row r="147">
      <c r="A147" s="59"/>
      <c r="B147" s="59"/>
      <c r="C147" s="59"/>
      <c r="D147" s="59"/>
      <c r="E147" s="59"/>
      <c r="F147" s="59"/>
      <c r="G147" s="59"/>
      <c r="H147" s="59"/>
      <c r="I147" s="59"/>
      <c r="J147" s="59"/>
      <c r="K147" s="59"/>
      <c r="L147" s="59"/>
    </row>
    <row r="148">
      <c r="A148" s="59"/>
      <c r="B148" s="59"/>
      <c r="C148" s="59"/>
      <c r="D148" s="59"/>
      <c r="E148" s="59"/>
      <c r="F148" s="59"/>
      <c r="G148" s="59"/>
      <c r="H148" s="59"/>
      <c r="I148" s="59"/>
      <c r="J148" s="59"/>
      <c r="K148" s="59"/>
      <c r="L148" s="59"/>
    </row>
    <row r="149">
      <c r="A149" s="59"/>
      <c r="B149" s="59"/>
      <c r="C149" s="59"/>
      <c r="D149" s="59"/>
      <c r="E149" s="59"/>
      <c r="F149" s="59"/>
      <c r="G149" s="59"/>
      <c r="H149" s="59"/>
      <c r="I149" s="59"/>
      <c r="J149" s="59"/>
      <c r="K149" s="59"/>
      <c r="L149" s="59"/>
    </row>
    <row r="150">
      <c r="A150" s="59"/>
      <c r="B150" s="59"/>
      <c r="C150" s="59"/>
      <c r="D150" s="59"/>
      <c r="E150" s="59"/>
      <c r="F150" s="59"/>
      <c r="G150" s="59"/>
      <c r="H150" s="59"/>
      <c r="I150" s="59"/>
      <c r="J150" s="59"/>
      <c r="K150" s="59"/>
      <c r="L150" s="59"/>
    </row>
    <row r="151">
      <c r="A151" s="59"/>
      <c r="B151" s="59"/>
      <c r="C151" s="59"/>
      <c r="D151" s="59"/>
      <c r="E151" s="59"/>
      <c r="F151" s="59"/>
      <c r="G151" s="59"/>
      <c r="H151" s="59"/>
      <c r="I151" s="59"/>
      <c r="J151" s="59"/>
      <c r="K151" s="59"/>
      <c r="L151" s="59"/>
    </row>
    <row r="152">
      <c r="A152" s="59"/>
      <c r="B152" s="59"/>
      <c r="C152" s="59"/>
      <c r="D152" s="59"/>
      <c r="E152" s="59"/>
      <c r="F152" s="59"/>
      <c r="G152" s="59"/>
      <c r="H152" s="59"/>
      <c r="I152" s="59"/>
      <c r="J152" s="59"/>
      <c r="K152" s="59"/>
      <c r="L152" s="59"/>
    </row>
    <row r="153">
      <c r="A153" s="59"/>
      <c r="B153" s="59"/>
      <c r="C153" s="59"/>
      <c r="D153" s="59"/>
      <c r="E153" s="59"/>
      <c r="F153" s="59"/>
      <c r="G153" s="59"/>
      <c r="H153" s="59"/>
      <c r="I153" s="59"/>
      <c r="J153" s="59"/>
      <c r="K153" s="59"/>
      <c r="L153" s="59"/>
    </row>
    <row r="154">
      <c r="A154" s="59"/>
      <c r="B154" s="59"/>
      <c r="C154" s="59"/>
      <c r="D154" s="59"/>
      <c r="E154" s="59"/>
      <c r="F154" s="59"/>
      <c r="G154" s="59"/>
      <c r="H154" s="59"/>
      <c r="I154" s="59"/>
      <c r="J154" s="59"/>
      <c r="K154" s="59"/>
      <c r="L154" s="59"/>
    </row>
    <row r="155">
      <c r="A155" s="59"/>
      <c r="B155" s="59"/>
      <c r="C155" s="59"/>
      <c r="D155" s="59"/>
      <c r="E155" s="59"/>
      <c r="F155" s="59"/>
      <c r="G155" s="59"/>
      <c r="H155" s="59"/>
      <c r="I155" s="59"/>
      <c r="J155" s="59"/>
      <c r="K155" s="59"/>
      <c r="L155" s="59"/>
    </row>
    <row r="156">
      <c r="A156" s="59"/>
      <c r="B156" s="59"/>
      <c r="C156" s="59"/>
      <c r="D156" s="59"/>
      <c r="E156" s="59"/>
      <c r="F156" s="59"/>
      <c r="G156" s="59"/>
      <c r="H156" s="59"/>
      <c r="I156" s="59"/>
      <c r="J156" s="59"/>
      <c r="K156" s="59"/>
      <c r="L156" s="59"/>
    </row>
    <row r="157">
      <c r="A157" s="59"/>
      <c r="B157" s="59"/>
      <c r="C157" s="59"/>
      <c r="D157" s="59"/>
      <c r="E157" s="59"/>
      <c r="F157" s="59"/>
      <c r="G157" s="59"/>
      <c r="H157" s="59"/>
      <c r="I157" s="59"/>
      <c r="J157" s="59"/>
      <c r="K157" s="59"/>
      <c r="L157" s="59"/>
    </row>
    <row r="158">
      <c r="A158" s="59"/>
      <c r="B158" s="59"/>
      <c r="C158" s="59"/>
      <c r="D158" s="59"/>
      <c r="E158" s="59"/>
      <c r="F158" s="59"/>
      <c r="G158" s="59"/>
      <c r="H158" s="59"/>
      <c r="I158" s="59"/>
      <c r="J158" s="59"/>
      <c r="K158" s="59"/>
      <c r="L158" s="59"/>
    </row>
    <row r="159">
      <c r="A159" s="59"/>
      <c r="B159" s="59"/>
      <c r="C159" s="59"/>
      <c r="D159" s="59"/>
      <c r="E159" s="59"/>
      <c r="F159" s="59"/>
      <c r="G159" s="59"/>
      <c r="H159" s="59"/>
      <c r="I159" s="59"/>
      <c r="J159" s="59"/>
      <c r="K159" s="59"/>
      <c r="L159" s="59"/>
    </row>
    <row r="160">
      <c r="A160" s="59"/>
      <c r="B160" s="59"/>
      <c r="C160" s="59"/>
      <c r="D160" s="59"/>
      <c r="E160" s="59"/>
      <c r="F160" s="59"/>
      <c r="G160" s="59"/>
      <c r="H160" s="59"/>
      <c r="I160" s="59"/>
      <c r="J160" s="59"/>
      <c r="K160" s="59"/>
      <c r="L160" s="59"/>
    </row>
    <row r="161">
      <c r="A161" s="59"/>
      <c r="B161" s="59"/>
      <c r="C161" s="59"/>
      <c r="D161" s="59"/>
      <c r="E161" s="59"/>
      <c r="F161" s="59"/>
      <c r="G161" s="59"/>
      <c r="H161" s="59"/>
      <c r="I161" s="59"/>
      <c r="J161" s="59"/>
      <c r="K161" s="59"/>
      <c r="L161" s="59"/>
    </row>
    <row r="162">
      <c r="A162" s="59"/>
      <c r="B162" s="59"/>
      <c r="C162" s="59"/>
      <c r="D162" s="59"/>
      <c r="E162" s="59"/>
      <c r="F162" s="59"/>
      <c r="G162" s="59"/>
      <c r="H162" s="59"/>
      <c r="I162" s="59"/>
      <c r="J162" s="59"/>
      <c r="K162" s="59"/>
      <c r="L162" s="59"/>
    </row>
    <row r="163">
      <c r="A163" s="59"/>
      <c r="B163" s="59"/>
      <c r="C163" s="59"/>
      <c r="D163" s="59"/>
      <c r="E163" s="59"/>
      <c r="F163" s="59"/>
      <c r="G163" s="59"/>
      <c r="H163" s="59"/>
      <c r="I163" s="59"/>
      <c r="J163" s="59"/>
      <c r="K163" s="59"/>
      <c r="L163" s="59"/>
    </row>
    <row r="164">
      <c r="A164" s="59"/>
      <c r="B164" s="59"/>
      <c r="C164" s="59"/>
      <c r="D164" s="59"/>
      <c r="E164" s="59"/>
      <c r="F164" s="59"/>
      <c r="G164" s="59"/>
      <c r="H164" s="59"/>
      <c r="I164" s="59"/>
      <c r="J164" s="59"/>
      <c r="K164" s="59"/>
      <c r="L164" s="59"/>
    </row>
    <row r="165">
      <c r="A165" s="59"/>
      <c r="B165" s="59"/>
      <c r="C165" s="59"/>
      <c r="D165" s="59"/>
      <c r="E165" s="59"/>
      <c r="F165" s="59"/>
      <c r="G165" s="59"/>
      <c r="H165" s="59"/>
      <c r="I165" s="59"/>
      <c r="J165" s="59"/>
      <c r="K165" s="59"/>
      <c r="L165" s="59"/>
    </row>
    <row r="166">
      <c r="A166" s="59"/>
      <c r="B166" s="59"/>
      <c r="C166" s="59"/>
      <c r="D166" s="59"/>
      <c r="E166" s="59"/>
      <c r="F166" s="59"/>
      <c r="G166" s="59"/>
      <c r="H166" s="59"/>
      <c r="I166" s="59"/>
      <c r="J166" s="59"/>
      <c r="K166" s="59"/>
      <c r="L166" s="59"/>
    </row>
    <row r="167">
      <c r="A167" s="59"/>
      <c r="B167" s="59"/>
      <c r="C167" s="59"/>
      <c r="D167" s="59"/>
      <c r="E167" s="59"/>
      <c r="F167" s="59"/>
      <c r="G167" s="59"/>
      <c r="H167" s="59"/>
      <c r="I167" s="59"/>
      <c r="J167" s="59"/>
      <c r="K167" s="59"/>
      <c r="L167" s="59"/>
    </row>
    <row r="168">
      <c r="A168" s="59"/>
      <c r="B168" s="59"/>
      <c r="C168" s="59"/>
      <c r="D168" s="59"/>
      <c r="E168" s="59"/>
      <c r="F168" s="59"/>
      <c r="G168" s="59"/>
      <c r="H168" s="59"/>
      <c r="I168" s="59"/>
      <c r="J168" s="59"/>
      <c r="K168" s="59"/>
      <c r="L168" s="59"/>
    </row>
    <row r="169">
      <c r="A169" s="59"/>
      <c r="B169" s="59"/>
      <c r="C169" s="59"/>
      <c r="D169" s="59"/>
      <c r="E169" s="59"/>
      <c r="F169" s="59"/>
      <c r="G169" s="59"/>
      <c r="H169" s="59"/>
      <c r="I169" s="59"/>
      <c r="J169" s="59"/>
      <c r="K169" s="59"/>
      <c r="L169" s="59"/>
    </row>
    <row r="170">
      <c r="A170" s="59"/>
      <c r="B170" s="59"/>
      <c r="C170" s="59"/>
      <c r="D170" s="59"/>
      <c r="E170" s="59"/>
      <c r="F170" s="59"/>
      <c r="G170" s="59"/>
      <c r="H170" s="59"/>
      <c r="I170" s="59"/>
      <c r="J170" s="59"/>
      <c r="K170" s="59"/>
      <c r="L170" s="59"/>
    </row>
    <row r="171">
      <c r="A171" s="59"/>
      <c r="B171" s="59"/>
      <c r="C171" s="59"/>
      <c r="D171" s="59"/>
      <c r="E171" s="59"/>
      <c r="F171" s="59"/>
      <c r="G171" s="59"/>
      <c r="H171" s="59"/>
      <c r="I171" s="59"/>
      <c r="J171" s="59"/>
      <c r="K171" s="59"/>
      <c r="L171" s="59"/>
    </row>
    <row r="172">
      <c r="A172" s="59"/>
      <c r="B172" s="59"/>
      <c r="C172" s="59"/>
      <c r="D172" s="59"/>
      <c r="E172" s="59"/>
      <c r="F172" s="59"/>
      <c r="G172" s="59"/>
      <c r="H172" s="59"/>
      <c r="I172" s="59"/>
      <c r="J172" s="59"/>
      <c r="K172" s="59"/>
      <c r="L172" s="59"/>
    </row>
    <row r="173">
      <c r="A173" s="59"/>
      <c r="B173" s="59"/>
      <c r="C173" s="59"/>
      <c r="D173" s="59"/>
      <c r="E173" s="59"/>
      <c r="F173" s="59"/>
      <c r="G173" s="59"/>
      <c r="H173" s="59"/>
      <c r="I173" s="59"/>
      <c r="J173" s="59"/>
      <c r="K173" s="59"/>
      <c r="L173" s="59"/>
    </row>
    <row r="174">
      <c r="A174" s="59"/>
      <c r="B174" s="59"/>
      <c r="C174" s="59"/>
      <c r="D174" s="59"/>
      <c r="E174" s="59"/>
      <c r="F174" s="59"/>
      <c r="G174" s="59"/>
      <c r="H174" s="59"/>
      <c r="I174" s="59"/>
      <c r="J174" s="59"/>
      <c r="K174" s="59"/>
      <c r="L174" s="59"/>
    </row>
    <row r="175">
      <c r="A175" s="59"/>
      <c r="B175" s="59"/>
      <c r="C175" s="59"/>
      <c r="D175" s="59"/>
      <c r="E175" s="59"/>
      <c r="F175" s="59"/>
      <c r="G175" s="59"/>
      <c r="H175" s="59"/>
      <c r="I175" s="59"/>
      <c r="J175" s="59"/>
      <c r="K175" s="59"/>
      <c r="L175" s="59"/>
    </row>
    <row r="176">
      <c r="A176" s="59"/>
      <c r="B176" s="59"/>
      <c r="C176" s="59"/>
      <c r="D176" s="59"/>
      <c r="E176" s="59"/>
      <c r="F176" s="59"/>
      <c r="G176" s="59"/>
      <c r="H176" s="59"/>
      <c r="I176" s="59"/>
      <c r="J176" s="59"/>
      <c r="K176" s="59"/>
      <c r="L176" s="59"/>
    </row>
    <row r="177">
      <c r="A177" s="59"/>
      <c r="B177" s="59"/>
      <c r="C177" s="59"/>
      <c r="D177" s="59"/>
      <c r="E177" s="59"/>
      <c r="F177" s="59"/>
      <c r="G177" s="59"/>
      <c r="H177" s="59"/>
      <c r="I177" s="59"/>
      <c r="J177" s="59"/>
      <c r="K177" s="59"/>
      <c r="L177" s="59"/>
    </row>
    <row r="178">
      <c r="A178" s="59"/>
      <c r="B178" s="59"/>
      <c r="C178" s="59"/>
      <c r="D178" s="59"/>
      <c r="E178" s="59"/>
      <c r="F178" s="59"/>
      <c r="G178" s="59"/>
      <c r="H178" s="59"/>
      <c r="I178" s="59"/>
      <c r="J178" s="59"/>
      <c r="K178" s="59"/>
      <c r="L178" s="59"/>
    </row>
    <row r="179">
      <c r="A179" s="59"/>
      <c r="B179" s="59"/>
      <c r="C179" s="59"/>
      <c r="D179" s="59"/>
      <c r="E179" s="59"/>
      <c r="F179" s="59"/>
      <c r="G179" s="59"/>
      <c r="H179" s="59"/>
      <c r="I179" s="59"/>
      <c r="J179" s="59"/>
      <c r="K179" s="59"/>
      <c r="L179" s="59"/>
    </row>
    <row r="180">
      <c r="A180" s="59"/>
      <c r="B180" s="59"/>
      <c r="C180" s="59"/>
      <c r="D180" s="59"/>
      <c r="E180" s="59"/>
      <c r="F180" s="59"/>
      <c r="G180" s="59"/>
      <c r="H180" s="59"/>
      <c r="I180" s="59"/>
      <c r="J180" s="59"/>
      <c r="K180" s="59"/>
      <c r="L180" s="59"/>
    </row>
    <row r="181">
      <c r="A181" s="59"/>
      <c r="B181" s="59"/>
      <c r="C181" s="59"/>
      <c r="D181" s="59"/>
      <c r="E181" s="59"/>
      <c r="F181" s="59"/>
      <c r="G181" s="59"/>
      <c r="H181" s="59"/>
      <c r="I181" s="59"/>
      <c r="J181" s="59"/>
      <c r="K181" s="59"/>
      <c r="L181" s="59"/>
    </row>
    <row r="182">
      <c r="A182" s="59"/>
      <c r="B182" s="59"/>
      <c r="C182" s="59"/>
      <c r="D182" s="59"/>
      <c r="E182" s="59"/>
      <c r="F182" s="59"/>
      <c r="G182" s="59"/>
      <c r="H182" s="59"/>
      <c r="I182" s="59"/>
      <c r="J182" s="59"/>
      <c r="K182" s="59"/>
      <c r="L182" s="59"/>
    </row>
    <row r="183">
      <c r="A183" s="59"/>
      <c r="B183" s="59"/>
      <c r="C183" s="59"/>
      <c r="D183" s="59"/>
      <c r="E183" s="59"/>
      <c r="F183" s="59"/>
      <c r="G183" s="59"/>
      <c r="H183" s="59"/>
      <c r="I183" s="59"/>
      <c r="J183" s="59"/>
      <c r="K183" s="59"/>
      <c r="L183" s="59"/>
    </row>
    <row r="184">
      <c r="A184" s="59"/>
      <c r="B184" s="59"/>
      <c r="C184" s="59"/>
      <c r="D184" s="59"/>
      <c r="E184" s="59"/>
      <c r="F184" s="59"/>
      <c r="G184" s="59"/>
      <c r="H184" s="59"/>
      <c r="I184" s="59"/>
      <c r="J184" s="59"/>
      <c r="K184" s="59"/>
      <c r="L184" s="59"/>
    </row>
    <row r="185">
      <c r="A185" s="59"/>
      <c r="B185" s="59"/>
      <c r="C185" s="59"/>
      <c r="D185" s="59"/>
      <c r="E185" s="59"/>
      <c r="F185" s="59"/>
      <c r="G185" s="59"/>
      <c r="H185" s="59"/>
      <c r="I185" s="59"/>
      <c r="J185" s="59"/>
      <c r="K185" s="59"/>
      <c r="L185" s="59"/>
    </row>
    <row r="186">
      <c r="A186" s="59"/>
      <c r="B186" s="59"/>
      <c r="C186" s="59"/>
      <c r="D186" s="59"/>
      <c r="E186" s="59"/>
      <c r="F186" s="59"/>
      <c r="G186" s="59"/>
      <c r="H186" s="59"/>
      <c r="I186" s="59"/>
      <c r="J186" s="59"/>
      <c r="K186" s="59"/>
      <c r="L186" s="59"/>
    </row>
    <row r="187">
      <c r="A187" s="59"/>
      <c r="B187" s="59"/>
      <c r="C187" s="59"/>
      <c r="D187" s="59"/>
      <c r="E187" s="59"/>
      <c r="F187" s="59"/>
      <c r="G187" s="59"/>
      <c r="H187" s="59"/>
      <c r="I187" s="59"/>
      <c r="J187" s="59"/>
      <c r="K187" s="59"/>
      <c r="L187" s="59"/>
    </row>
    <row r="188">
      <c r="A188" s="59"/>
      <c r="B188" s="59"/>
      <c r="C188" s="59"/>
      <c r="D188" s="59"/>
      <c r="E188" s="59"/>
      <c r="F188" s="59"/>
      <c r="G188" s="59"/>
      <c r="H188" s="59"/>
      <c r="I188" s="59"/>
      <c r="J188" s="59"/>
      <c r="K188" s="59"/>
      <c r="L188" s="59"/>
    </row>
    <row r="189">
      <c r="A189" s="59"/>
      <c r="B189" s="59"/>
      <c r="C189" s="59"/>
      <c r="D189" s="59"/>
      <c r="E189" s="59"/>
      <c r="F189" s="59"/>
      <c r="G189" s="59"/>
      <c r="H189" s="59"/>
      <c r="I189" s="59"/>
      <c r="J189" s="59"/>
      <c r="K189" s="59"/>
      <c r="L189" s="59"/>
    </row>
    <row r="190">
      <c r="A190" s="59"/>
      <c r="B190" s="59"/>
      <c r="C190" s="59"/>
      <c r="D190" s="59"/>
      <c r="E190" s="59"/>
      <c r="F190" s="59"/>
      <c r="G190" s="59"/>
      <c r="H190" s="59"/>
      <c r="I190" s="59"/>
      <c r="J190" s="59"/>
      <c r="K190" s="59"/>
      <c r="L190" s="59"/>
    </row>
    <row r="191">
      <c r="A191" s="59"/>
      <c r="B191" s="59"/>
      <c r="C191" s="59"/>
      <c r="D191" s="59"/>
      <c r="E191" s="59"/>
      <c r="F191" s="59"/>
      <c r="G191" s="59"/>
      <c r="H191" s="59"/>
      <c r="I191" s="59"/>
      <c r="J191" s="59"/>
      <c r="K191" s="59"/>
      <c r="L191" s="59"/>
    </row>
    <row r="192">
      <c r="A192" s="59"/>
      <c r="B192" s="59"/>
      <c r="C192" s="59"/>
      <c r="D192" s="59"/>
      <c r="E192" s="59"/>
      <c r="F192" s="59"/>
      <c r="G192" s="59"/>
      <c r="H192" s="59"/>
      <c r="I192" s="59"/>
      <c r="J192" s="59"/>
      <c r="K192" s="59"/>
      <c r="L192" s="59"/>
    </row>
    <row r="193">
      <c r="A193" s="59"/>
      <c r="B193" s="59"/>
      <c r="C193" s="59"/>
      <c r="D193" s="59"/>
      <c r="E193" s="59"/>
      <c r="F193" s="59"/>
      <c r="G193" s="59"/>
      <c r="H193" s="59"/>
      <c r="I193" s="59"/>
      <c r="J193" s="59"/>
      <c r="K193" s="59"/>
      <c r="L193" s="59"/>
    </row>
    <row r="194">
      <c r="A194" s="59"/>
      <c r="B194" s="59"/>
      <c r="C194" s="59"/>
      <c r="D194" s="59"/>
      <c r="E194" s="59"/>
      <c r="F194" s="59"/>
      <c r="G194" s="59"/>
      <c r="H194" s="59"/>
      <c r="I194" s="59"/>
      <c r="J194" s="59"/>
      <c r="K194" s="59"/>
      <c r="L194" s="59"/>
    </row>
    <row r="195">
      <c r="A195" s="59"/>
      <c r="B195" s="59"/>
      <c r="C195" s="59"/>
      <c r="D195" s="59"/>
      <c r="E195" s="59"/>
      <c r="F195" s="59"/>
      <c r="G195" s="59"/>
      <c r="H195" s="59"/>
      <c r="I195" s="59"/>
      <c r="J195" s="59"/>
      <c r="K195" s="59"/>
      <c r="L195" s="59"/>
    </row>
    <row r="196">
      <c r="A196" s="59"/>
      <c r="B196" s="59"/>
      <c r="C196" s="59"/>
      <c r="D196" s="59"/>
      <c r="E196" s="59"/>
      <c r="F196" s="59"/>
      <c r="G196" s="59"/>
      <c r="H196" s="59"/>
      <c r="I196" s="59"/>
      <c r="J196" s="59"/>
      <c r="K196" s="59"/>
      <c r="L196" s="59"/>
    </row>
    <row r="197">
      <c r="A197" s="59"/>
      <c r="B197" s="59"/>
      <c r="C197" s="59"/>
      <c r="D197" s="59"/>
      <c r="E197" s="59"/>
      <c r="F197" s="59"/>
      <c r="G197" s="59"/>
      <c r="H197" s="59"/>
      <c r="I197" s="59"/>
      <c r="J197" s="59"/>
      <c r="K197" s="59"/>
      <c r="L197" s="59"/>
    </row>
    <row r="198">
      <c r="A198" s="59"/>
      <c r="B198" s="59"/>
      <c r="C198" s="59"/>
      <c r="D198" s="59"/>
      <c r="E198" s="59"/>
      <c r="F198" s="59"/>
      <c r="G198" s="59"/>
      <c r="H198" s="59"/>
      <c r="I198" s="59"/>
      <c r="J198" s="59"/>
      <c r="K198" s="59"/>
      <c r="L198" s="59"/>
    </row>
    <row r="199">
      <c r="A199" s="59"/>
      <c r="B199" s="59"/>
      <c r="C199" s="59"/>
      <c r="D199" s="59"/>
      <c r="E199" s="59"/>
      <c r="F199" s="59"/>
      <c r="G199" s="59"/>
      <c r="H199" s="59"/>
      <c r="I199" s="59"/>
      <c r="J199" s="59"/>
      <c r="K199" s="59"/>
      <c r="L199" s="59"/>
    </row>
    <row r="200">
      <c r="A200" s="59"/>
      <c r="B200" s="59"/>
      <c r="C200" s="59"/>
      <c r="D200" s="59"/>
      <c r="E200" s="59"/>
      <c r="F200" s="59"/>
      <c r="G200" s="59"/>
      <c r="H200" s="59"/>
      <c r="I200" s="59"/>
      <c r="J200" s="59"/>
      <c r="K200" s="59"/>
      <c r="L200" s="59"/>
    </row>
    <row r="201">
      <c r="A201" s="59"/>
      <c r="B201" s="59"/>
      <c r="C201" s="59"/>
      <c r="D201" s="59"/>
      <c r="E201" s="59"/>
      <c r="F201" s="59"/>
      <c r="G201" s="59"/>
      <c r="H201" s="59"/>
      <c r="I201" s="59"/>
      <c r="J201" s="59"/>
      <c r="K201" s="59"/>
      <c r="L201" s="59"/>
    </row>
    <row r="202">
      <c r="A202" s="59"/>
      <c r="B202" s="59"/>
      <c r="C202" s="59"/>
      <c r="D202" s="59"/>
      <c r="E202" s="59"/>
      <c r="F202" s="59"/>
      <c r="G202" s="59"/>
      <c r="H202" s="59"/>
      <c r="I202" s="59"/>
      <c r="J202" s="59"/>
      <c r="K202" s="59"/>
      <c r="L202" s="59"/>
    </row>
    <row r="203">
      <c r="A203" s="59"/>
      <c r="B203" s="59"/>
      <c r="C203" s="59"/>
      <c r="D203" s="59"/>
      <c r="E203" s="59"/>
      <c r="F203" s="59"/>
      <c r="G203" s="59"/>
      <c r="H203" s="59"/>
      <c r="I203" s="59"/>
      <c r="J203" s="59"/>
      <c r="K203" s="59"/>
      <c r="L203" s="59"/>
    </row>
    <row r="204">
      <c r="A204" s="59"/>
      <c r="B204" s="59"/>
      <c r="C204" s="59"/>
      <c r="D204" s="59"/>
      <c r="E204" s="59"/>
      <c r="F204" s="59"/>
      <c r="G204" s="59"/>
      <c r="H204" s="59"/>
      <c r="I204" s="59"/>
      <c r="J204" s="59"/>
      <c r="K204" s="59"/>
      <c r="L204" s="59"/>
    </row>
    <row r="205">
      <c r="A205" s="59"/>
      <c r="B205" s="59"/>
      <c r="C205" s="59"/>
      <c r="D205" s="59"/>
      <c r="E205" s="59"/>
      <c r="F205" s="59"/>
      <c r="G205" s="59"/>
      <c r="H205" s="59"/>
      <c r="I205" s="59"/>
      <c r="J205" s="59"/>
      <c r="K205" s="59"/>
      <c r="L205" s="59"/>
    </row>
    <row r="206">
      <c r="A206" s="59"/>
      <c r="B206" s="59"/>
      <c r="C206" s="59"/>
      <c r="D206" s="59"/>
      <c r="E206" s="59"/>
      <c r="F206" s="59"/>
      <c r="G206" s="59"/>
      <c r="H206" s="59"/>
      <c r="I206" s="59"/>
      <c r="J206" s="59"/>
      <c r="K206" s="59"/>
      <c r="L206" s="59"/>
    </row>
    <row r="207">
      <c r="A207" s="59"/>
      <c r="B207" s="59"/>
      <c r="C207" s="59"/>
      <c r="D207" s="59"/>
      <c r="E207" s="59"/>
      <c r="F207" s="59"/>
      <c r="G207" s="59"/>
      <c r="H207" s="59"/>
      <c r="I207" s="59"/>
      <c r="J207" s="59"/>
      <c r="K207" s="59"/>
      <c r="L207" s="59"/>
    </row>
    <row r="208">
      <c r="A208" s="59"/>
      <c r="B208" s="59"/>
      <c r="C208" s="59"/>
      <c r="D208" s="59"/>
      <c r="E208" s="59"/>
      <c r="F208" s="59"/>
      <c r="G208" s="59"/>
      <c r="H208" s="59"/>
      <c r="I208" s="59"/>
      <c r="J208" s="59"/>
      <c r="K208" s="59"/>
      <c r="L208" s="59"/>
    </row>
    <row r="209">
      <c r="A209" s="59"/>
      <c r="B209" s="59"/>
      <c r="C209" s="59"/>
      <c r="D209" s="59"/>
      <c r="E209" s="59"/>
      <c r="F209" s="59"/>
      <c r="G209" s="59"/>
      <c r="H209" s="59"/>
      <c r="I209" s="59"/>
      <c r="J209" s="59"/>
      <c r="K209" s="59"/>
      <c r="L209" s="59"/>
    </row>
    <row r="210">
      <c r="A210" s="59"/>
      <c r="B210" s="59"/>
      <c r="C210" s="59"/>
      <c r="D210" s="59"/>
      <c r="E210" s="59"/>
      <c r="F210" s="59"/>
      <c r="G210" s="59"/>
      <c r="H210" s="59"/>
      <c r="I210" s="59"/>
      <c r="J210" s="59"/>
      <c r="K210" s="59"/>
      <c r="L210" s="59"/>
    </row>
    <row r="211">
      <c r="A211" s="59"/>
      <c r="B211" s="59"/>
      <c r="C211" s="59"/>
      <c r="D211" s="59"/>
      <c r="E211" s="59"/>
      <c r="F211" s="59"/>
      <c r="G211" s="59"/>
      <c r="H211" s="59"/>
      <c r="I211" s="59"/>
      <c r="J211" s="59"/>
      <c r="K211" s="59"/>
      <c r="L211" s="59"/>
    </row>
    <row r="212">
      <c r="A212" s="59"/>
      <c r="B212" s="59"/>
      <c r="C212" s="59"/>
      <c r="D212" s="59"/>
      <c r="E212" s="59"/>
      <c r="F212" s="59"/>
      <c r="G212" s="59"/>
      <c r="H212" s="59"/>
      <c r="I212" s="59"/>
      <c r="J212" s="59"/>
      <c r="K212" s="59"/>
      <c r="L212" s="59"/>
    </row>
    <row r="213">
      <c r="A213" s="59"/>
      <c r="B213" s="59"/>
      <c r="C213" s="59"/>
      <c r="D213" s="59"/>
      <c r="E213" s="59"/>
      <c r="F213" s="59"/>
      <c r="G213" s="59"/>
      <c r="H213" s="59"/>
      <c r="I213" s="59"/>
      <c r="J213" s="59"/>
      <c r="K213" s="59"/>
      <c r="L213" s="59"/>
    </row>
    <row r="214">
      <c r="A214" s="59"/>
      <c r="B214" s="59"/>
      <c r="C214" s="59"/>
      <c r="D214" s="59"/>
      <c r="E214" s="59"/>
      <c r="F214" s="59"/>
      <c r="G214" s="59"/>
      <c r="H214" s="59"/>
      <c r="I214" s="59"/>
      <c r="J214" s="59"/>
      <c r="K214" s="59"/>
      <c r="L214" s="59"/>
    </row>
    <row r="215">
      <c r="A215" s="59"/>
      <c r="B215" s="59"/>
      <c r="C215" s="59"/>
      <c r="D215" s="59"/>
      <c r="E215" s="59"/>
      <c r="F215" s="59"/>
      <c r="G215" s="59"/>
      <c r="H215" s="59"/>
      <c r="I215" s="59"/>
      <c r="J215" s="59"/>
      <c r="K215" s="59"/>
      <c r="L215" s="59"/>
    </row>
    <row r="216">
      <c r="A216" s="59"/>
      <c r="B216" s="59"/>
      <c r="C216" s="59"/>
      <c r="D216" s="59"/>
      <c r="E216" s="59"/>
      <c r="F216" s="59"/>
      <c r="G216" s="59"/>
      <c r="H216" s="59"/>
      <c r="I216" s="59"/>
      <c r="J216" s="59"/>
      <c r="K216" s="59"/>
      <c r="L216" s="59"/>
    </row>
    <row r="217">
      <c r="A217" s="59"/>
      <c r="B217" s="59"/>
      <c r="C217" s="59"/>
      <c r="D217" s="59"/>
      <c r="E217" s="59"/>
      <c r="F217" s="59"/>
      <c r="G217" s="59"/>
      <c r="H217" s="59"/>
      <c r="I217" s="59"/>
      <c r="J217" s="59"/>
      <c r="K217" s="59"/>
      <c r="L217" s="59"/>
    </row>
    <row r="218">
      <c r="A218" s="59"/>
      <c r="B218" s="59"/>
      <c r="C218" s="59"/>
      <c r="D218" s="59"/>
      <c r="E218" s="59"/>
      <c r="F218" s="59"/>
      <c r="G218" s="59"/>
      <c r="H218" s="59"/>
      <c r="I218" s="59"/>
      <c r="J218" s="59"/>
      <c r="K218" s="59"/>
      <c r="L218" s="59"/>
    </row>
    <row r="219">
      <c r="A219" s="59"/>
      <c r="B219" s="59"/>
      <c r="C219" s="59"/>
      <c r="D219" s="59"/>
      <c r="E219" s="59"/>
      <c r="F219" s="59"/>
      <c r="G219" s="59"/>
      <c r="H219" s="59"/>
      <c r="I219" s="59"/>
      <c r="J219" s="59"/>
      <c r="K219" s="59"/>
      <c r="L219" s="59"/>
    </row>
    <row r="220">
      <c r="A220" s="59"/>
      <c r="B220" s="59"/>
      <c r="C220" s="59"/>
      <c r="D220" s="59"/>
      <c r="E220" s="59"/>
      <c r="F220" s="59"/>
      <c r="G220" s="59"/>
      <c r="H220" s="59"/>
      <c r="I220" s="59"/>
      <c r="J220" s="59"/>
      <c r="K220" s="59"/>
      <c r="L220" s="59"/>
    </row>
    <row r="221">
      <c r="A221" s="59"/>
      <c r="B221" s="59"/>
      <c r="C221" s="59"/>
      <c r="D221" s="59"/>
      <c r="E221" s="59"/>
      <c r="F221" s="59"/>
      <c r="G221" s="59"/>
      <c r="H221" s="59"/>
      <c r="I221" s="59"/>
      <c r="J221" s="59"/>
      <c r="K221" s="59"/>
      <c r="L221" s="59"/>
    </row>
    <row r="222">
      <c r="A222" s="59"/>
      <c r="B222" s="59"/>
      <c r="C222" s="59"/>
      <c r="D222" s="59"/>
      <c r="E222" s="59"/>
      <c r="F222" s="59"/>
      <c r="G222" s="59"/>
      <c r="H222" s="59"/>
      <c r="I222" s="59"/>
      <c r="J222" s="59"/>
      <c r="K222" s="59"/>
      <c r="L222" s="59"/>
    </row>
    <row r="223">
      <c r="A223" s="59"/>
      <c r="B223" s="59"/>
      <c r="C223" s="59"/>
      <c r="D223" s="59"/>
      <c r="E223" s="59"/>
      <c r="F223" s="59"/>
      <c r="G223" s="59"/>
      <c r="H223" s="59"/>
      <c r="I223" s="59"/>
      <c r="J223" s="59"/>
      <c r="K223" s="59"/>
      <c r="L223" s="59"/>
    </row>
    <row r="224">
      <c r="A224" s="59"/>
      <c r="B224" s="59"/>
      <c r="C224" s="59"/>
      <c r="D224" s="59"/>
      <c r="E224" s="59"/>
      <c r="F224" s="59"/>
      <c r="G224" s="59"/>
      <c r="H224" s="59"/>
      <c r="I224" s="59"/>
      <c r="J224" s="59"/>
      <c r="K224" s="59"/>
      <c r="L224" s="59"/>
    </row>
    <row r="225">
      <c r="A225" s="59"/>
      <c r="B225" s="59"/>
      <c r="C225" s="59"/>
      <c r="D225" s="59"/>
      <c r="E225" s="59"/>
      <c r="F225" s="59"/>
      <c r="G225" s="59"/>
      <c r="H225" s="59"/>
      <c r="I225" s="59"/>
      <c r="J225" s="59"/>
      <c r="K225" s="59"/>
      <c r="L225" s="59"/>
    </row>
    <row r="226">
      <c r="A226" s="59"/>
      <c r="B226" s="59"/>
      <c r="C226" s="59"/>
      <c r="D226" s="59"/>
      <c r="E226" s="59"/>
      <c r="F226" s="59"/>
      <c r="G226" s="59"/>
      <c r="H226" s="59"/>
      <c r="I226" s="59"/>
      <c r="J226" s="59"/>
      <c r="K226" s="59"/>
      <c r="L226" s="59"/>
    </row>
    <row r="227">
      <c r="A227" s="59"/>
      <c r="B227" s="59"/>
      <c r="C227" s="59"/>
      <c r="D227" s="59"/>
      <c r="E227" s="59"/>
      <c r="F227" s="59"/>
      <c r="G227" s="59"/>
      <c r="H227" s="59"/>
      <c r="I227" s="59"/>
      <c r="J227" s="59"/>
      <c r="K227" s="59"/>
      <c r="L227" s="59"/>
    </row>
    <row r="228">
      <c r="A228" s="59"/>
      <c r="B228" s="59"/>
      <c r="C228" s="59"/>
      <c r="D228" s="59"/>
      <c r="E228" s="59"/>
      <c r="F228" s="59"/>
      <c r="G228" s="59"/>
      <c r="H228" s="59"/>
      <c r="I228" s="59"/>
      <c r="J228" s="59"/>
      <c r="K228" s="59"/>
      <c r="L228" s="59"/>
    </row>
    <row r="229">
      <c r="A229" s="59"/>
      <c r="B229" s="59"/>
      <c r="C229" s="59"/>
      <c r="D229" s="59"/>
      <c r="E229" s="59"/>
      <c r="F229" s="59"/>
      <c r="G229" s="59"/>
      <c r="H229" s="59"/>
      <c r="I229" s="59"/>
      <c r="J229" s="59"/>
      <c r="K229" s="59"/>
      <c r="L229" s="59"/>
    </row>
    <row r="230">
      <c r="A230" s="59"/>
      <c r="B230" s="59"/>
      <c r="C230" s="59"/>
      <c r="D230" s="59"/>
      <c r="E230" s="59"/>
      <c r="F230" s="59"/>
      <c r="G230" s="59"/>
      <c r="H230" s="59"/>
      <c r="I230" s="59"/>
      <c r="J230" s="59"/>
      <c r="K230" s="59"/>
      <c r="L230" s="59"/>
    </row>
    <row r="231">
      <c r="A231" s="59"/>
      <c r="B231" s="59"/>
      <c r="C231" s="59"/>
      <c r="D231" s="59"/>
      <c r="E231" s="59"/>
      <c r="F231" s="59"/>
      <c r="G231" s="59"/>
      <c r="H231" s="59"/>
      <c r="I231" s="59"/>
      <c r="J231" s="59"/>
      <c r="K231" s="59"/>
      <c r="L231" s="59"/>
    </row>
    <row r="232">
      <c r="A232" s="59"/>
      <c r="B232" s="59"/>
      <c r="C232" s="59"/>
      <c r="D232" s="59"/>
      <c r="E232" s="59"/>
      <c r="F232" s="59"/>
      <c r="G232" s="59"/>
      <c r="H232" s="59"/>
      <c r="I232" s="59"/>
      <c r="J232" s="59"/>
      <c r="K232" s="59"/>
      <c r="L232" s="59"/>
    </row>
    <row r="233">
      <c r="A233" s="59"/>
      <c r="B233" s="59"/>
      <c r="C233" s="59"/>
      <c r="D233" s="59"/>
      <c r="E233" s="59"/>
      <c r="F233" s="59"/>
      <c r="G233" s="59"/>
      <c r="H233" s="59"/>
      <c r="I233" s="59"/>
      <c r="J233" s="59"/>
      <c r="K233" s="59"/>
      <c r="L233" s="59"/>
    </row>
    <row r="234">
      <c r="A234" s="59"/>
      <c r="B234" s="59"/>
      <c r="C234" s="59"/>
      <c r="D234" s="59"/>
      <c r="E234" s="59"/>
      <c r="F234" s="59"/>
      <c r="G234" s="59"/>
      <c r="H234" s="59"/>
      <c r="I234" s="59"/>
      <c r="J234" s="59"/>
      <c r="K234" s="59"/>
      <c r="L234" s="59"/>
    </row>
    <row r="235">
      <c r="A235" s="59"/>
      <c r="B235" s="59"/>
      <c r="C235" s="59"/>
      <c r="D235" s="59"/>
      <c r="E235" s="59"/>
      <c r="F235" s="59"/>
      <c r="G235" s="59"/>
      <c r="H235" s="59"/>
      <c r="I235" s="59"/>
      <c r="J235" s="59"/>
      <c r="K235" s="59"/>
      <c r="L235" s="59"/>
    </row>
    <row r="236">
      <c r="A236" s="59"/>
      <c r="B236" s="59"/>
      <c r="C236" s="59"/>
      <c r="D236" s="59"/>
      <c r="E236" s="59"/>
      <c r="F236" s="59"/>
      <c r="G236" s="59"/>
      <c r="H236" s="59"/>
      <c r="I236" s="59"/>
      <c r="J236" s="59"/>
      <c r="K236" s="59"/>
      <c r="L236" s="59"/>
    </row>
    <row r="237">
      <c r="A237" s="59"/>
      <c r="B237" s="59"/>
      <c r="C237" s="59"/>
      <c r="D237" s="59"/>
      <c r="E237" s="59"/>
      <c r="F237" s="59"/>
      <c r="G237" s="59"/>
      <c r="H237" s="59"/>
      <c r="I237" s="59"/>
      <c r="J237" s="59"/>
      <c r="K237" s="59"/>
      <c r="L237" s="59"/>
    </row>
    <row r="238">
      <c r="A238" s="59"/>
      <c r="B238" s="59"/>
      <c r="C238" s="59"/>
      <c r="D238" s="59"/>
      <c r="E238" s="59"/>
      <c r="F238" s="59"/>
      <c r="G238" s="59"/>
      <c r="H238" s="59"/>
      <c r="I238" s="59"/>
      <c r="J238" s="59"/>
      <c r="K238" s="59"/>
      <c r="L238" s="59"/>
    </row>
    <row r="239">
      <c r="A239" s="59"/>
      <c r="B239" s="59"/>
      <c r="C239" s="59"/>
      <c r="D239" s="59"/>
      <c r="E239" s="59"/>
      <c r="F239" s="59"/>
      <c r="G239" s="59"/>
      <c r="H239" s="59"/>
      <c r="I239" s="59"/>
      <c r="J239" s="59"/>
      <c r="K239" s="59"/>
      <c r="L239" s="59"/>
    </row>
    <row r="240">
      <c r="A240" s="59"/>
      <c r="B240" s="59"/>
      <c r="C240" s="59"/>
      <c r="D240" s="59"/>
      <c r="E240" s="59"/>
      <c r="F240" s="59"/>
      <c r="G240" s="59"/>
      <c r="H240" s="59"/>
      <c r="I240" s="59"/>
      <c r="J240" s="59"/>
      <c r="K240" s="59"/>
      <c r="L240" s="59"/>
    </row>
    <row r="241">
      <c r="A241" s="59"/>
      <c r="B241" s="59"/>
      <c r="C241" s="59"/>
      <c r="D241" s="59"/>
      <c r="E241" s="59"/>
      <c r="F241" s="59"/>
      <c r="G241" s="59"/>
      <c r="H241" s="59"/>
      <c r="I241" s="59"/>
      <c r="J241" s="59"/>
      <c r="K241" s="59"/>
      <c r="L241" s="59"/>
    </row>
    <row r="242">
      <c r="A242" s="59"/>
      <c r="B242" s="59"/>
      <c r="C242" s="59"/>
      <c r="D242" s="59"/>
      <c r="E242" s="59"/>
      <c r="F242" s="59"/>
      <c r="G242" s="59"/>
      <c r="H242" s="59"/>
      <c r="I242" s="59"/>
      <c r="J242" s="59"/>
      <c r="K242" s="59"/>
      <c r="L242" s="59"/>
    </row>
    <row r="243">
      <c r="A243" s="59"/>
      <c r="B243" s="59"/>
      <c r="C243" s="59"/>
      <c r="D243" s="59"/>
      <c r="E243" s="59"/>
      <c r="F243" s="59"/>
      <c r="G243" s="59"/>
      <c r="H243" s="59"/>
      <c r="I243" s="59"/>
      <c r="J243" s="59"/>
      <c r="K243" s="59"/>
      <c r="L243" s="59"/>
    </row>
    <row r="244">
      <c r="A244" s="59"/>
      <c r="B244" s="59"/>
      <c r="C244" s="59"/>
      <c r="D244" s="59"/>
      <c r="E244" s="59"/>
      <c r="F244" s="59"/>
      <c r="G244" s="59"/>
      <c r="H244" s="59"/>
      <c r="I244" s="59"/>
      <c r="J244" s="59"/>
      <c r="K244" s="59"/>
      <c r="L244" s="59"/>
    </row>
    <row r="245">
      <c r="A245" s="59"/>
      <c r="B245" s="59"/>
      <c r="C245" s="59"/>
      <c r="D245" s="59"/>
      <c r="E245" s="59"/>
      <c r="F245" s="59"/>
      <c r="G245" s="59"/>
      <c r="H245" s="59"/>
      <c r="I245" s="59"/>
      <c r="J245" s="59"/>
      <c r="K245" s="59"/>
      <c r="L245" s="59"/>
    </row>
    <row r="246">
      <c r="A246" s="59"/>
      <c r="B246" s="59"/>
      <c r="C246" s="59"/>
      <c r="D246" s="59"/>
      <c r="E246" s="59"/>
      <c r="F246" s="59"/>
      <c r="G246" s="59"/>
      <c r="H246" s="59"/>
      <c r="I246" s="59"/>
      <c r="J246" s="59"/>
      <c r="K246" s="59"/>
      <c r="L246" s="59"/>
    </row>
    <row r="247">
      <c r="A247" s="59"/>
      <c r="B247" s="59"/>
      <c r="C247" s="59"/>
      <c r="D247" s="59"/>
      <c r="E247" s="59"/>
      <c r="F247" s="59"/>
      <c r="G247" s="59"/>
      <c r="H247" s="59"/>
      <c r="I247" s="59"/>
      <c r="J247" s="59"/>
      <c r="K247" s="59"/>
      <c r="L247" s="59"/>
    </row>
    <row r="248">
      <c r="A248" s="59"/>
      <c r="B248" s="59"/>
      <c r="C248" s="59"/>
      <c r="D248" s="59"/>
      <c r="E248" s="59"/>
      <c r="F248" s="59"/>
      <c r="G248" s="59"/>
      <c r="H248" s="59"/>
      <c r="I248" s="59"/>
      <c r="J248" s="59"/>
      <c r="K248" s="59"/>
      <c r="L248" s="59"/>
    </row>
    <row r="249">
      <c r="A249" s="59"/>
      <c r="B249" s="59"/>
      <c r="C249" s="59"/>
      <c r="D249" s="59"/>
      <c r="E249" s="59"/>
      <c r="F249" s="59"/>
      <c r="G249" s="59"/>
      <c r="H249" s="59"/>
      <c r="I249" s="59"/>
      <c r="J249" s="59"/>
      <c r="K249" s="59"/>
      <c r="L249" s="59"/>
    </row>
    <row r="250">
      <c r="A250" s="59"/>
      <c r="B250" s="59"/>
      <c r="C250" s="59"/>
      <c r="D250" s="59"/>
      <c r="E250" s="59"/>
      <c r="F250" s="59"/>
      <c r="G250" s="59"/>
      <c r="H250" s="59"/>
      <c r="I250" s="59"/>
      <c r="J250" s="59"/>
      <c r="K250" s="59"/>
      <c r="L250" s="59"/>
    </row>
    <row r="251">
      <c r="A251" s="59"/>
      <c r="B251" s="59"/>
      <c r="C251" s="59"/>
      <c r="D251" s="59"/>
      <c r="E251" s="59"/>
      <c r="F251" s="59"/>
      <c r="G251" s="59"/>
      <c r="H251" s="59"/>
      <c r="I251" s="59"/>
      <c r="J251" s="59"/>
      <c r="K251" s="59"/>
      <c r="L251" s="59"/>
    </row>
    <row r="252">
      <c r="A252" s="59"/>
      <c r="B252" s="59"/>
      <c r="C252" s="59"/>
      <c r="D252" s="59"/>
      <c r="E252" s="59"/>
      <c r="F252" s="59"/>
      <c r="G252" s="59"/>
      <c r="H252" s="59"/>
      <c r="I252" s="59"/>
      <c r="J252" s="59"/>
      <c r="K252" s="59"/>
      <c r="L252" s="59"/>
    </row>
    <row r="253">
      <c r="A253" s="59"/>
      <c r="B253" s="59"/>
      <c r="C253" s="59"/>
      <c r="D253" s="59"/>
      <c r="E253" s="59"/>
      <c r="F253" s="59"/>
      <c r="G253" s="59"/>
      <c r="H253" s="59"/>
      <c r="I253" s="59"/>
      <c r="J253" s="59"/>
      <c r="K253" s="59"/>
      <c r="L253" s="59"/>
    </row>
    <row r="254">
      <c r="A254" s="59"/>
      <c r="B254" s="59"/>
      <c r="C254" s="59"/>
      <c r="D254" s="59"/>
      <c r="E254" s="59"/>
      <c r="F254" s="59"/>
      <c r="G254" s="59"/>
      <c r="H254" s="59"/>
      <c r="I254" s="59"/>
      <c r="J254" s="59"/>
      <c r="K254" s="59"/>
      <c r="L254" s="59"/>
    </row>
    <row r="255">
      <c r="A255" s="59"/>
      <c r="B255" s="59"/>
      <c r="C255" s="59"/>
      <c r="D255" s="59"/>
      <c r="E255" s="59"/>
      <c r="F255" s="59"/>
      <c r="G255" s="59"/>
      <c r="H255" s="59"/>
      <c r="I255" s="59"/>
      <c r="J255" s="59"/>
      <c r="K255" s="59"/>
      <c r="L255" s="59"/>
    </row>
    <row r="256">
      <c r="A256" s="59"/>
      <c r="B256" s="59"/>
      <c r="C256" s="59"/>
      <c r="D256" s="59"/>
      <c r="E256" s="59"/>
      <c r="F256" s="59"/>
      <c r="G256" s="59"/>
      <c r="H256" s="59"/>
      <c r="I256" s="59"/>
      <c r="J256" s="59"/>
      <c r="K256" s="59"/>
      <c r="L256" s="59"/>
    </row>
    <row r="257">
      <c r="A257" s="59"/>
      <c r="B257" s="59"/>
      <c r="C257" s="59"/>
      <c r="D257" s="59"/>
      <c r="E257" s="59"/>
      <c r="F257" s="59"/>
      <c r="G257" s="59"/>
      <c r="H257" s="59"/>
      <c r="I257" s="59"/>
      <c r="J257" s="59"/>
      <c r="K257" s="59"/>
      <c r="L257" s="59"/>
    </row>
    <row r="258">
      <c r="A258" s="59"/>
      <c r="B258" s="59"/>
      <c r="C258" s="59"/>
      <c r="D258" s="59"/>
      <c r="E258" s="59"/>
      <c r="F258" s="59"/>
      <c r="G258" s="59"/>
      <c r="H258" s="59"/>
      <c r="I258" s="59"/>
      <c r="J258" s="59"/>
      <c r="K258" s="59"/>
      <c r="L258" s="59"/>
    </row>
    <row r="259">
      <c r="A259" s="59"/>
      <c r="B259" s="59"/>
      <c r="C259" s="59"/>
      <c r="D259" s="59"/>
      <c r="E259" s="59"/>
      <c r="F259" s="59"/>
      <c r="G259" s="59"/>
      <c r="H259" s="59"/>
      <c r="I259" s="59"/>
      <c r="J259" s="59"/>
      <c r="K259" s="59"/>
      <c r="L259" s="59"/>
    </row>
    <row r="260">
      <c r="A260" s="59"/>
      <c r="B260" s="59"/>
      <c r="C260" s="59"/>
      <c r="D260" s="59"/>
      <c r="E260" s="59"/>
      <c r="F260" s="59"/>
      <c r="G260" s="59"/>
      <c r="H260" s="59"/>
      <c r="I260" s="59"/>
      <c r="J260" s="59"/>
      <c r="K260" s="59"/>
      <c r="L260" s="59"/>
    </row>
    <row r="261">
      <c r="A261" s="59"/>
      <c r="B261" s="59"/>
      <c r="C261" s="59"/>
      <c r="D261" s="59"/>
      <c r="E261" s="59"/>
      <c r="F261" s="59"/>
      <c r="G261" s="59"/>
      <c r="H261" s="59"/>
      <c r="I261" s="59"/>
      <c r="J261" s="59"/>
      <c r="K261" s="59"/>
      <c r="L261" s="59"/>
    </row>
    <row r="262">
      <c r="A262" s="59"/>
      <c r="B262" s="59"/>
      <c r="C262" s="59"/>
      <c r="D262" s="59"/>
      <c r="E262" s="59"/>
      <c r="F262" s="59"/>
      <c r="G262" s="59"/>
      <c r="H262" s="59"/>
      <c r="I262" s="59"/>
      <c r="J262" s="59"/>
      <c r="K262" s="59"/>
      <c r="L262" s="59"/>
    </row>
    <row r="263">
      <c r="A263" s="59"/>
      <c r="B263" s="59"/>
      <c r="C263" s="59"/>
      <c r="D263" s="59"/>
      <c r="E263" s="59"/>
      <c r="F263" s="59"/>
      <c r="G263" s="59"/>
      <c r="H263" s="59"/>
      <c r="I263" s="59"/>
      <c r="J263" s="59"/>
      <c r="K263" s="59"/>
      <c r="L263" s="59"/>
    </row>
    <row r="264">
      <c r="A264" s="59"/>
      <c r="B264" s="59"/>
      <c r="C264" s="59"/>
      <c r="D264" s="59"/>
      <c r="E264" s="59"/>
      <c r="F264" s="59"/>
      <c r="G264" s="59"/>
      <c r="H264" s="59"/>
      <c r="I264" s="59"/>
      <c r="J264" s="59"/>
      <c r="K264" s="59"/>
      <c r="L264" s="59"/>
    </row>
    <row r="265">
      <c r="A265" s="59"/>
      <c r="B265" s="59"/>
      <c r="C265" s="59"/>
      <c r="D265" s="59"/>
      <c r="E265" s="59"/>
      <c r="F265" s="59"/>
      <c r="G265" s="59"/>
      <c r="H265" s="59"/>
      <c r="I265" s="59"/>
      <c r="J265" s="59"/>
      <c r="K265" s="59"/>
      <c r="L265" s="59"/>
    </row>
    <row r="266">
      <c r="A266" s="59"/>
      <c r="B266" s="59"/>
      <c r="C266" s="59"/>
      <c r="D266" s="59"/>
      <c r="E266" s="59"/>
      <c r="F266" s="59"/>
      <c r="G266" s="59"/>
      <c r="H266" s="59"/>
      <c r="I266" s="59"/>
      <c r="J266" s="59"/>
      <c r="K266" s="59"/>
      <c r="L266" s="59"/>
    </row>
    <row r="267">
      <c r="A267" s="59"/>
      <c r="B267" s="59"/>
      <c r="C267" s="59"/>
      <c r="D267" s="59"/>
      <c r="E267" s="59"/>
      <c r="F267" s="59"/>
      <c r="G267" s="59"/>
      <c r="H267" s="59"/>
      <c r="I267" s="59"/>
      <c r="J267" s="59"/>
      <c r="K267" s="59"/>
      <c r="L267" s="59"/>
    </row>
    <row r="268">
      <c r="A268" s="59"/>
      <c r="B268" s="59"/>
      <c r="C268" s="59"/>
      <c r="D268" s="59"/>
      <c r="E268" s="59"/>
      <c r="F268" s="59"/>
      <c r="G268" s="59"/>
      <c r="H268" s="59"/>
      <c r="I268" s="59"/>
      <c r="J268" s="59"/>
      <c r="K268" s="59"/>
      <c r="L268" s="59"/>
    </row>
    <row r="269">
      <c r="A269" s="59"/>
      <c r="B269" s="59"/>
      <c r="C269" s="59"/>
      <c r="D269" s="59"/>
      <c r="E269" s="59"/>
      <c r="F269" s="59"/>
      <c r="G269" s="59"/>
      <c r="H269" s="59"/>
      <c r="I269" s="59"/>
      <c r="J269" s="59"/>
      <c r="K269" s="59"/>
      <c r="L269" s="59"/>
    </row>
    <row r="270">
      <c r="A270" s="59"/>
      <c r="B270" s="59"/>
      <c r="C270" s="59"/>
      <c r="D270" s="59"/>
      <c r="E270" s="59"/>
      <c r="F270" s="59"/>
      <c r="G270" s="59"/>
      <c r="H270" s="59"/>
      <c r="I270" s="59"/>
      <c r="J270" s="59"/>
      <c r="K270" s="59"/>
      <c r="L270" s="59"/>
    </row>
    <row r="271">
      <c r="A271" s="59"/>
      <c r="B271" s="59"/>
      <c r="C271" s="59"/>
      <c r="D271" s="59"/>
      <c r="E271" s="59"/>
      <c r="F271" s="59"/>
      <c r="G271" s="59"/>
      <c r="H271" s="59"/>
      <c r="I271" s="59"/>
      <c r="J271" s="59"/>
      <c r="K271" s="59"/>
      <c r="L271" s="59"/>
    </row>
    <row r="272">
      <c r="A272" s="59"/>
      <c r="B272" s="59"/>
      <c r="C272" s="59"/>
      <c r="D272" s="59"/>
      <c r="E272" s="59"/>
      <c r="F272" s="59"/>
      <c r="G272" s="59"/>
      <c r="H272" s="59"/>
      <c r="I272" s="59"/>
      <c r="J272" s="59"/>
      <c r="K272" s="59"/>
      <c r="L272" s="59"/>
    </row>
    <row r="273">
      <c r="A273" s="59"/>
      <c r="B273" s="59"/>
      <c r="C273" s="59"/>
      <c r="D273" s="59"/>
      <c r="E273" s="59"/>
      <c r="F273" s="59"/>
      <c r="G273" s="59"/>
      <c r="H273" s="59"/>
      <c r="I273" s="59"/>
      <c r="J273" s="59"/>
      <c r="K273" s="59"/>
      <c r="L273" s="59"/>
    </row>
    <row r="274">
      <c r="A274" s="59"/>
      <c r="B274" s="59"/>
      <c r="C274" s="59"/>
      <c r="D274" s="59"/>
      <c r="E274" s="59"/>
      <c r="F274" s="59"/>
      <c r="G274" s="59"/>
      <c r="H274" s="59"/>
      <c r="I274" s="59"/>
      <c r="J274" s="59"/>
      <c r="K274" s="59"/>
      <c r="L274" s="59"/>
    </row>
    <row r="275">
      <c r="A275" s="59"/>
      <c r="B275" s="59"/>
      <c r="C275" s="59"/>
      <c r="D275" s="59"/>
      <c r="E275" s="59"/>
      <c r="F275" s="59"/>
      <c r="G275" s="59"/>
      <c r="H275" s="59"/>
      <c r="I275" s="59"/>
      <c r="J275" s="59"/>
      <c r="K275" s="59"/>
      <c r="L275" s="59"/>
    </row>
    <row r="276">
      <c r="A276" s="59"/>
      <c r="B276" s="59"/>
      <c r="C276" s="59"/>
      <c r="D276" s="59"/>
      <c r="E276" s="59"/>
      <c r="F276" s="59"/>
      <c r="G276" s="59"/>
      <c r="H276" s="59"/>
      <c r="I276" s="59"/>
      <c r="J276" s="59"/>
      <c r="K276" s="59"/>
      <c r="L276" s="59"/>
    </row>
    <row r="277">
      <c r="A277" s="59"/>
      <c r="B277" s="59"/>
      <c r="C277" s="59"/>
      <c r="D277" s="59"/>
      <c r="E277" s="59"/>
      <c r="F277" s="59"/>
      <c r="G277" s="59"/>
      <c r="H277" s="59"/>
      <c r="I277" s="59"/>
      <c r="J277" s="59"/>
      <c r="K277" s="59"/>
      <c r="L277" s="59"/>
    </row>
    <row r="278">
      <c r="A278" s="59"/>
      <c r="B278" s="59"/>
      <c r="C278" s="59"/>
      <c r="D278" s="59"/>
      <c r="E278" s="59"/>
      <c r="F278" s="59"/>
      <c r="G278" s="59"/>
      <c r="H278" s="59"/>
      <c r="I278" s="59"/>
      <c r="J278" s="59"/>
      <c r="K278" s="59"/>
      <c r="L278" s="59"/>
    </row>
    <row r="279">
      <c r="A279" s="59"/>
      <c r="B279" s="59"/>
      <c r="C279" s="59"/>
      <c r="D279" s="59"/>
      <c r="E279" s="59"/>
      <c r="F279" s="59"/>
      <c r="G279" s="59"/>
      <c r="H279" s="59"/>
      <c r="I279" s="59"/>
      <c r="J279" s="59"/>
      <c r="K279" s="59"/>
      <c r="L279" s="59"/>
    </row>
    <row r="280">
      <c r="A280" s="59"/>
      <c r="B280" s="59"/>
      <c r="C280" s="59"/>
      <c r="D280" s="59"/>
      <c r="E280" s="59"/>
      <c r="F280" s="59"/>
      <c r="G280" s="59"/>
      <c r="H280" s="59"/>
      <c r="I280" s="59"/>
      <c r="J280" s="59"/>
      <c r="K280" s="59"/>
      <c r="L280" s="59"/>
    </row>
    <row r="281">
      <c r="A281" s="59"/>
      <c r="B281" s="59"/>
      <c r="C281" s="59"/>
      <c r="D281" s="59"/>
      <c r="E281" s="59"/>
      <c r="F281" s="59"/>
      <c r="G281" s="59"/>
      <c r="H281" s="59"/>
      <c r="I281" s="59"/>
      <c r="J281" s="59"/>
      <c r="K281" s="59"/>
      <c r="L281" s="59"/>
    </row>
    <row r="282">
      <c r="A282" s="59"/>
      <c r="B282" s="59"/>
      <c r="C282" s="59"/>
      <c r="D282" s="59"/>
      <c r="E282" s="59"/>
      <c r="F282" s="59"/>
      <c r="G282" s="59"/>
      <c r="H282" s="59"/>
      <c r="I282" s="59"/>
      <c r="J282" s="59"/>
      <c r="K282" s="59"/>
      <c r="L282" s="59"/>
    </row>
    <row r="283">
      <c r="A283" s="59"/>
      <c r="B283" s="59"/>
      <c r="C283" s="59"/>
      <c r="D283" s="59"/>
      <c r="E283" s="59"/>
      <c r="F283" s="59"/>
      <c r="G283" s="59"/>
      <c r="H283" s="59"/>
      <c r="I283" s="59"/>
      <c r="J283" s="59"/>
      <c r="K283" s="59"/>
      <c r="L283" s="59"/>
    </row>
    <row r="284">
      <c r="A284" s="59"/>
      <c r="B284" s="59"/>
      <c r="C284" s="59"/>
      <c r="D284" s="59"/>
      <c r="E284" s="59"/>
      <c r="F284" s="59"/>
      <c r="G284" s="59"/>
      <c r="H284" s="59"/>
      <c r="I284" s="59"/>
      <c r="J284" s="59"/>
      <c r="K284" s="59"/>
      <c r="L284" s="59"/>
    </row>
    <row r="285">
      <c r="A285" s="59"/>
      <c r="B285" s="59"/>
      <c r="C285" s="59"/>
      <c r="D285" s="59"/>
      <c r="E285" s="59"/>
      <c r="F285" s="59"/>
      <c r="G285" s="59"/>
      <c r="H285" s="59"/>
      <c r="I285" s="59"/>
      <c r="J285" s="59"/>
      <c r="K285" s="59"/>
      <c r="L285" s="59"/>
    </row>
    <row r="286">
      <c r="A286" s="59"/>
      <c r="B286" s="59"/>
      <c r="C286" s="59"/>
      <c r="D286" s="59"/>
      <c r="E286" s="59"/>
      <c r="F286" s="59"/>
      <c r="G286" s="59"/>
      <c r="H286" s="59"/>
      <c r="I286" s="59"/>
      <c r="J286" s="59"/>
      <c r="K286" s="59"/>
      <c r="L286" s="59"/>
    </row>
    <row r="287">
      <c r="A287" s="59"/>
      <c r="B287" s="59"/>
      <c r="C287" s="59"/>
      <c r="D287" s="59"/>
      <c r="E287" s="59"/>
      <c r="F287" s="59"/>
      <c r="G287" s="59"/>
      <c r="H287" s="59"/>
      <c r="I287" s="59"/>
      <c r="J287" s="59"/>
      <c r="K287" s="59"/>
      <c r="L287" s="59"/>
    </row>
    <row r="288">
      <c r="A288" s="59"/>
      <c r="B288" s="59"/>
      <c r="C288" s="59"/>
      <c r="D288" s="59"/>
      <c r="E288" s="59"/>
      <c r="F288" s="59"/>
      <c r="G288" s="59"/>
      <c r="H288" s="59"/>
      <c r="I288" s="59"/>
      <c r="J288" s="59"/>
      <c r="K288" s="59"/>
      <c r="L288" s="59"/>
    </row>
    <row r="289">
      <c r="A289" s="59"/>
      <c r="B289" s="59"/>
      <c r="C289" s="59"/>
      <c r="D289" s="59"/>
      <c r="E289" s="59"/>
      <c r="F289" s="59"/>
      <c r="G289" s="59"/>
      <c r="H289" s="59"/>
      <c r="I289" s="59"/>
      <c r="J289" s="59"/>
      <c r="K289" s="59"/>
      <c r="L289" s="59"/>
    </row>
    <row r="290">
      <c r="A290" s="59"/>
      <c r="B290" s="59"/>
      <c r="C290" s="59"/>
      <c r="D290" s="59"/>
      <c r="E290" s="59"/>
      <c r="F290" s="59"/>
      <c r="G290" s="59"/>
      <c r="H290" s="59"/>
      <c r="I290" s="59"/>
      <c r="J290" s="59"/>
      <c r="K290" s="59"/>
      <c r="L290" s="59"/>
    </row>
    <row r="291">
      <c r="A291" s="59"/>
      <c r="B291" s="59"/>
      <c r="C291" s="59"/>
      <c r="D291" s="59"/>
      <c r="E291" s="59"/>
      <c r="F291" s="59"/>
      <c r="G291" s="59"/>
      <c r="H291" s="59"/>
      <c r="I291" s="59"/>
      <c r="J291" s="59"/>
      <c r="K291" s="59"/>
      <c r="L291" s="59"/>
    </row>
    <row r="292">
      <c r="A292" s="59"/>
      <c r="B292" s="59"/>
      <c r="C292" s="59"/>
      <c r="D292" s="59"/>
      <c r="E292" s="59"/>
      <c r="F292" s="59"/>
      <c r="G292" s="59"/>
      <c r="H292" s="59"/>
      <c r="I292" s="59"/>
      <c r="J292" s="59"/>
      <c r="K292" s="59"/>
      <c r="L292" s="59"/>
    </row>
    <row r="293">
      <c r="A293" s="59"/>
      <c r="B293" s="59"/>
      <c r="C293" s="59"/>
      <c r="D293" s="59"/>
      <c r="E293" s="59"/>
      <c r="F293" s="59"/>
      <c r="G293" s="59"/>
      <c r="H293" s="59"/>
      <c r="I293" s="59"/>
      <c r="J293" s="59"/>
      <c r="K293" s="59"/>
      <c r="L293" s="59"/>
    </row>
    <row r="294">
      <c r="A294" s="59"/>
      <c r="B294" s="59"/>
      <c r="C294" s="59"/>
      <c r="D294" s="59"/>
      <c r="E294" s="59"/>
      <c r="F294" s="59"/>
      <c r="G294" s="59"/>
      <c r="H294" s="59"/>
      <c r="I294" s="59"/>
      <c r="J294" s="59"/>
      <c r="K294" s="59"/>
      <c r="L294" s="59"/>
    </row>
    <row r="295">
      <c r="A295" s="59"/>
      <c r="B295" s="59"/>
      <c r="C295" s="59"/>
      <c r="D295" s="59"/>
      <c r="E295" s="59"/>
      <c r="F295" s="59"/>
      <c r="G295" s="59"/>
      <c r="H295" s="59"/>
      <c r="I295" s="59"/>
      <c r="J295" s="59"/>
      <c r="K295" s="59"/>
      <c r="L295" s="59"/>
    </row>
    <row r="296">
      <c r="A296" s="59"/>
      <c r="B296" s="59"/>
      <c r="C296" s="59"/>
      <c r="D296" s="59"/>
      <c r="E296" s="59"/>
      <c r="F296" s="59"/>
      <c r="G296" s="59"/>
      <c r="H296" s="59"/>
      <c r="I296" s="59"/>
      <c r="J296" s="59"/>
      <c r="K296" s="59"/>
      <c r="L296" s="59"/>
    </row>
    <row r="297">
      <c r="A297" s="59"/>
      <c r="B297" s="59"/>
      <c r="C297" s="59"/>
      <c r="D297" s="59"/>
      <c r="E297" s="59"/>
      <c r="F297" s="59"/>
      <c r="G297" s="59"/>
      <c r="H297" s="59"/>
      <c r="I297" s="59"/>
      <c r="J297" s="59"/>
      <c r="K297" s="59"/>
      <c r="L297" s="59"/>
    </row>
    <row r="298">
      <c r="A298" s="59"/>
      <c r="B298" s="59"/>
      <c r="C298" s="59"/>
      <c r="D298" s="59"/>
      <c r="E298" s="59"/>
      <c r="F298" s="59"/>
      <c r="G298" s="59"/>
      <c r="H298" s="59"/>
      <c r="I298" s="59"/>
      <c r="J298" s="59"/>
      <c r="K298" s="59"/>
      <c r="L298" s="59"/>
    </row>
    <row r="299">
      <c r="A299" s="59"/>
      <c r="B299" s="59"/>
      <c r="C299" s="59"/>
      <c r="D299" s="59"/>
      <c r="E299" s="59"/>
      <c r="F299" s="59"/>
      <c r="G299" s="59"/>
      <c r="H299" s="59"/>
      <c r="I299" s="59"/>
      <c r="J299" s="59"/>
      <c r="K299" s="59"/>
      <c r="L299" s="59"/>
    </row>
    <row r="300">
      <c r="A300" s="59"/>
      <c r="B300" s="59"/>
      <c r="C300" s="59"/>
      <c r="D300" s="59"/>
      <c r="E300" s="59"/>
      <c r="F300" s="59"/>
      <c r="G300" s="59"/>
      <c r="H300" s="59"/>
      <c r="I300" s="59"/>
      <c r="J300" s="59"/>
      <c r="K300" s="59"/>
      <c r="L300" s="59"/>
    </row>
    <row r="301">
      <c r="A301" s="59"/>
      <c r="B301" s="59"/>
      <c r="C301" s="59"/>
      <c r="D301" s="59"/>
      <c r="E301" s="59"/>
      <c r="F301" s="59"/>
      <c r="G301" s="59"/>
      <c r="H301" s="59"/>
      <c r="I301" s="59"/>
      <c r="J301" s="59"/>
      <c r="K301" s="59"/>
      <c r="L301" s="59"/>
    </row>
    <row r="302">
      <c r="A302" s="59"/>
      <c r="B302" s="59"/>
      <c r="C302" s="59"/>
      <c r="D302" s="59"/>
      <c r="E302" s="59"/>
      <c r="F302" s="59"/>
      <c r="G302" s="59"/>
      <c r="H302" s="59"/>
      <c r="I302" s="59"/>
      <c r="J302" s="59"/>
      <c r="K302" s="59"/>
      <c r="L302" s="59"/>
    </row>
    <row r="303">
      <c r="A303" s="59"/>
      <c r="B303" s="59"/>
      <c r="C303" s="59"/>
      <c r="D303" s="59"/>
      <c r="E303" s="59"/>
      <c r="F303" s="59"/>
      <c r="G303" s="59"/>
      <c r="H303" s="59"/>
      <c r="I303" s="59"/>
      <c r="J303" s="59"/>
      <c r="K303" s="59"/>
      <c r="L303" s="59"/>
    </row>
    <row r="304">
      <c r="A304" s="59"/>
      <c r="B304" s="59"/>
      <c r="C304" s="59"/>
      <c r="D304" s="59"/>
      <c r="E304" s="59"/>
      <c r="F304" s="59"/>
      <c r="G304" s="59"/>
      <c r="H304" s="59"/>
      <c r="I304" s="59"/>
      <c r="J304" s="59"/>
      <c r="K304" s="59"/>
      <c r="L304" s="59"/>
    </row>
    <row r="305">
      <c r="A305" s="59"/>
      <c r="B305" s="59"/>
      <c r="C305" s="59"/>
      <c r="D305" s="59"/>
      <c r="E305" s="59"/>
      <c r="F305" s="59"/>
      <c r="G305" s="59"/>
      <c r="H305" s="59"/>
      <c r="I305" s="59"/>
      <c r="J305" s="59"/>
      <c r="K305" s="59"/>
      <c r="L305" s="59"/>
    </row>
    <row r="306">
      <c r="A306" s="59"/>
      <c r="B306" s="59"/>
      <c r="C306" s="59"/>
      <c r="D306" s="59"/>
      <c r="E306" s="59"/>
      <c r="F306" s="59"/>
      <c r="G306" s="59"/>
      <c r="H306" s="59"/>
      <c r="I306" s="59"/>
      <c r="J306" s="59"/>
      <c r="K306" s="59"/>
      <c r="L306" s="59"/>
    </row>
    <row r="307">
      <c r="A307" s="59"/>
      <c r="B307" s="59"/>
      <c r="C307" s="59"/>
      <c r="D307" s="59"/>
      <c r="E307" s="59"/>
      <c r="F307" s="59"/>
      <c r="G307" s="59"/>
      <c r="H307" s="59"/>
      <c r="I307" s="59"/>
      <c r="J307" s="59"/>
      <c r="K307" s="59"/>
      <c r="L307" s="59"/>
    </row>
    <row r="308">
      <c r="A308" s="59"/>
      <c r="B308" s="59"/>
      <c r="C308" s="59"/>
      <c r="D308" s="59"/>
      <c r="E308" s="59"/>
      <c r="F308" s="59"/>
      <c r="G308" s="59"/>
      <c r="H308" s="59"/>
      <c r="I308" s="59"/>
      <c r="J308" s="59"/>
      <c r="K308" s="59"/>
      <c r="L308" s="59"/>
    </row>
    <row r="309">
      <c r="A309" s="59"/>
      <c r="B309" s="59"/>
      <c r="C309" s="59"/>
      <c r="D309" s="59"/>
      <c r="E309" s="59"/>
      <c r="F309" s="59"/>
      <c r="G309" s="59"/>
      <c r="H309" s="59"/>
      <c r="I309" s="59"/>
      <c r="J309" s="59"/>
      <c r="K309" s="59"/>
      <c r="L309" s="59"/>
    </row>
    <row r="310">
      <c r="A310" s="59"/>
      <c r="B310" s="59"/>
      <c r="C310" s="59"/>
      <c r="D310" s="59"/>
      <c r="E310" s="59"/>
      <c r="F310" s="59"/>
      <c r="G310" s="59"/>
      <c r="H310" s="59"/>
      <c r="I310" s="59"/>
      <c r="J310" s="59"/>
      <c r="K310" s="59"/>
      <c r="L310" s="59"/>
    </row>
    <row r="311">
      <c r="A311" s="59"/>
      <c r="B311" s="59"/>
      <c r="C311" s="59"/>
      <c r="D311" s="59"/>
      <c r="E311" s="59"/>
      <c r="F311" s="59"/>
      <c r="G311" s="59"/>
      <c r="H311" s="59"/>
      <c r="I311" s="59"/>
      <c r="J311" s="59"/>
      <c r="K311" s="59"/>
      <c r="L311" s="59"/>
    </row>
    <row r="312">
      <c r="A312" s="59"/>
      <c r="B312" s="59"/>
      <c r="C312" s="59"/>
      <c r="D312" s="59"/>
      <c r="E312" s="59"/>
      <c r="F312" s="59"/>
      <c r="G312" s="59"/>
      <c r="H312" s="59"/>
      <c r="I312" s="59"/>
      <c r="J312" s="59"/>
      <c r="K312" s="59"/>
      <c r="L312" s="59"/>
    </row>
    <row r="313">
      <c r="A313" s="59"/>
      <c r="B313" s="59"/>
      <c r="C313" s="59"/>
      <c r="D313" s="59"/>
      <c r="E313" s="59"/>
      <c r="F313" s="59"/>
      <c r="G313" s="59"/>
      <c r="H313" s="59"/>
      <c r="I313" s="59"/>
      <c r="J313" s="59"/>
      <c r="K313" s="59"/>
      <c r="L313" s="59"/>
    </row>
    <row r="314">
      <c r="A314" s="59"/>
      <c r="B314" s="59"/>
      <c r="C314" s="59"/>
      <c r="D314" s="59"/>
      <c r="E314" s="59"/>
      <c r="F314" s="59"/>
      <c r="G314" s="59"/>
      <c r="H314" s="59"/>
      <c r="I314" s="59"/>
      <c r="J314" s="59"/>
      <c r="K314" s="59"/>
      <c r="L314" s="59"/>
    </row>
    <row r="315">
      <c r="A315" s="59"/>
      <c r="B315" s="59"/>
      <c r="C315" s="59"/>
      <c r="D315" s="59"/>
      <c r="E315" s="59"/>
      <c r="F315" s="59"/>
      <c r="G315" s="59"/>
      <c r="H315" s="59"/>
      <c r="I315" s="59"/>
      <c r="J315" s="59"/>
      <c r="K315" s="59"/>
      <c r="L315" s="59"/>
    </row>
    <row r="316">
      <c r="A316" s="59"/>
      <c r="B316" s="59"/>
      <c r="C316" s="59"/>
      <c r="D316" s="59"/>
      <c r="E316" s="59"/>
      <c r="F316" s="59"/>
      <c r="G316" s="59"/>
      <c r="H316" s="59"/>
      <c r="I316" s="59"/>
      <c r="J316" s="59"/>
      <c r="K316" s="59"/>
      <c r="L316" s="59"/>
    </row>
    <row r="317">
      <c r="A317" s="59"/>
      <c r="B317" s="59"/>
      <c r="C317" s="59"/>
      <c r="D317" s="59"/>
      <c r="E317" s="59"/>
      <c r="F317" s="59"/>
      <c r="G317" s="59"/>
      <c r="H317" s="59"/>
      <c r="I317" s="59"/>
      <c r="J317" s="59"/>
      <c r="K317" s="59"/>
      <c r="L317" s="59"/>
    </row>
    <row r="318">
      <c r="A318" s="59"/>
      <c r="B318" s="59"/>
      <c r="C318" s="59"/>
      <c r="D318" s="59"/>
      <c r="E318" s="59"/>
      <c r="F318" s="59"/>
      <c r="G318" s="59"/>
      <c r="H318" s="59"/>
      <c r="I318" s="59"/>
      <c r="J318" s="59"/>
      <c r="K318" s="59"/>
      <c r="L318" s="59"/>
    </row>
    <row r="319">
      <c r="A319" s="59"/>
      <c r="B319" s="59"/>
      <c r="C319" s="59"/>
      <c r="D319" s="59"/>
      <c r="E319" s="59"/>
      <c r="F319" s="59"/>
      <c r="G319" s="59"/>
      <c r="H319" s="59"/>
      <c r="I319" s="59"/>
      <c r="J319" s="59"/>
      <c r="K319" s="59"/>
      <c r="L319" s="59"/>
    </row>
    <row r="320">
      <c r="A320" s="59"/>
      <c r="B320" s="59"/>
      <c r="C320" s="59"/>
      <c r="D320" s="59"/>
      <c r="E320" s="59"/>
      <c r="F320" s="59"/>
      <c r="G320" s="59"/>
      <c r="H320" s="59"/>
      <c r="I320" s="59"/>
      <c r="J320" s="59"/>
      <c r="K320" s="59"/>
      <c r="L320" s="59"/>
    </row>
    <row r="321">
      <c r="A321" s="59"/>
      <c r="B321" s="59"/>
      <c r="C321" s="59"/>
      <c r="D321" s="59"/>
      <c r="E321" s="59"/>
      <c r="F321" s="59"/>
      <c r="G321" s="59"/>
      <c r="H321" s="59"/>
      <c r="I321" s="59"/>
      <c r="J321" s="59"/>
      <c r="K321" s="59"/>
      <c r="L321" s="59"/>
    </row>
    <row r="322">
      <c r="A322" s="59"/>
      <c r="B322" s="59"/>
      <c r="C322" s="59"/>
      <c r="D322" s="59"/>
      <c r="E322" s="59"/>
      <c r="F322" s="59"/>
      <c r="G322" s="59"/>
      <c r="H322" s="59"/>
      <c r="I322" s="59"/>
      <c r="J322" s="59"/>
      <c r="K322" s="59"/>
      <c r="L322" s="59"/>
    </row>
    <row r="323">
      <c r="A323" s="59"/>
      <c r="B323" s="59"/>
      <c r="C323" s="59"/>
      <c r="D323" s="59"/>
      <c r="E323" s="59"/>
      <c r="F323" s="59"/>
      <c r="G323" s="59"/>
      <c r="H323" s="59"/>
      <c r="I323" s="59"/>
      <c r="J323" s="59"/>
      <c r="K323" s="59"/>
      <c r="L323" s="59"/>
    </row>
    <row r="324">
      <c r="A324" s="59"/>
      <c r="B324" s="59"/>
      <c r="C324" s="59"/>
      <c r="D324" s="59"/>
      <c r="E324" s="59"/>
      <c r="F324" s="59"/>
      <c r="G324" s="59"/>
      <c r="H324" s="59"/>
      <c r="I324" s="59"/>
      <c r="J324" s="59"/>
      <c r="K324" s="59"/>
      <c r="L324" s="59"/>
    </row>
    <row r="325">
      <c r="A325" s="59"/>
      <c r="B325" s="59"/>
      <c r="C325" s="59"/>
      <c r="D325" s="59"/>
      <c r="E325" s="59"/>
      <c r="F325" s="59"/>
      <c r="G325" s="59"/>
      <c r="H325" s="59"/>
      <c r="I325" s="59"/>
      <c r="J325" s="59"/>
      <c r="K325" s="59"/>
      <c r="L325" s="59"/>
    </row>
    <row r="326">
      <c r="A326" s="59"/>
      <c r="B326" s="59"/>
      <c r="C326" s="59"/>
      <c r="D326" s="59"/>
      <c r="E326" s="59"/>
      <c r="F326" s="59"/>
      <c r="G326" s="59"/>
      <c r="H326" s="59"/>
      <c r="I326" s="59"/>
      <c r="J326" s="59"/>
      <c r="K326" s="59"/>
      <c r="L326" s="59"/>
    </row>
    <row r="327">
      <c r="A327" s="59"/>
      <c r="B327" s="59"/>
      <c r="C327" s="59"/>
      <c r="D327" s="59"/>
      <c r="E327" s="59"/>
      <c r="F327" s="59"/>
      <c r="G327" s="59"/>
      <c r="H327" s="59"/>
      <c r="I327" s="59"/>
      <c r="J327" s="59"/>
      <c r="K327" s="59"/>
      <c r="L327" s="59"/>
    </row>
    <row r="328">
      <c r="A328" s="59"/>
      <c r="B328" s="59"/>
      <c r="C328" s="59"/>
      <c r="D328" s="59"/>
      <c r="E328" s="59"/>
      <c r="F328" s="59"/>
      <c r="G328" s="59"/>
      <c r="H328" s="59"/>
      <c r="I328" s="59"/>
      <c r="J328" s="59"/>
      <c r="K328" s="59"/>
      <c r="L328" s="59"/>
    </row>
    <row r="329">
      <c r="A329" s="59"/>
      <c r="B329" s="59"/>
      <c r="C329" s="59"/>
      <c r="D329" s="59"/>
      <c r="E329" s="59"/>
      <c r="F329" s="59"/>
      <c r="G329" s="59"/>
      <c r="H329" s="59"/>
      <c r="I329" s="59"/>
      <c r="J329" s="59"/>
      <c r="K329" s="59"/>
      <c r="L329" s="59"/>
    </row>
    <row r="330">
      <c r="A330" s="59"/>
      <c r="B330" s="59"/>
      <c r="C330" s="59"/>
      <c r="D330" s="59"/>
      <c r="E330" s="59"/>
      <c r="F330" s="59"/>
      <c r="G330" s="59"/>
      <c r="H330" s="59"/>
      <c r="I330" s="59"/>
      <c r="J330" s="59"/>
      <c r="K330" s="59"/>
      <c r="L330" s="59"/>
    </row>
    <row r="331">
      <c r="A331" s="59"/>
      <c r="B331" s="59"/>
      <c r="C331" s="59"/>
      <c r="D331" s="59"/>
      <c r="E331" s="59"/>
      <c r="F331" s="59"/>
      <c r="G331" s="59"/>
      <c r="H331" s="59"/>
      <c r="I331" s="59"/>
      <c r="J331" s="59"/>
      <c r="K331" s="59"/>
      <c r="L331" s="59"/>
    </row>
    <row r="332">
      <c r="A332" s="59"/>
      <c r="B332" s="59"/>
      <c r="C332" s="59"/>
      <c r="D332" s="59"/>
      <c r="E332" s="59"/>
      <c r="F332" s="59"/>
      <c r="G332" s="59"/>
      <c r="H332" s="59"/>
      <c r="I332" s="59"/>
      <c r="J332" s="59"/>
      <c r="K332" s="59"/>
      <c r="L332" s="59"/>
    </row>
    <row r="333">
      <c r="A333" s="59"/>
      <c r="B333" s="59"/>
      <c r="C333" s="59"/>
      <c r="D333" s="59"/>
      <c r="E333" s="59"/>
      <c r="F333" s="59"/>
      <c r="G333" s="59"/>
      <c r="H333" s="59"/>
      <c r="I333" s="59"/>
      <c r="J333" s="59"/>
      <c r="K333" s="59"/>
      <c r="L333" s="59"/>
    </row>
    <row r="334">
      <c r="A334" s="59"/>
      <c r="B334" s="59"/>
      <c r="C334" s="59"/>
      <c r="D334" s="59"/>
      <c r="E334" s="59"/>
      <c r="F334" s="59"/>
      <c r="G334" s="59"/>
      <c r="H334" s="59"/>
      <c r="I334" s="59"/>
      <c r="J334" s="59"/>
      <c r="K334" s="59"/>
      <c r="L334" s="59"/>
    </row>
    <row r="335">
      <c r="A335" s="59"/>
      <c r="B335" s="59"/>
      <c r="C335" s="59"/>
      <c r="D335" s="59"/>
      <c r="E335" s="59"/>
      <c r="F335" s="59"/>
      <c r="G335" s="59"/>
      <c r="H335" s="59"/>
      <c r="I335" s="59"/>
      <c r="J335" s="59"/>
      <c r="K335" s="59"/>
      <c r="L335" s="59"/>
    </row>
    <row r="336">
      <c r="A336" s="59"/>
      <c r="B336" s="59"/>
      <c r="C336" s="59"/>
      <c r="D336" s="59"/>
      <c r="E336" s="59"/>
      <c r="F336" s="59"/>
      <c r="G336" s="59"/>
      <c r="H336" s="59"/>
      <c r="I336" s="59"/>
      <c r="J336" s="59"/>
      <c r="K336" s="59"/>
      <c r="L336" s="59"/>
    </row>
    <row r="337">
      <c r="A337" s="59"/>
      <c r="B337" s="59"/>
      <c r="C337" s="59"/>
      <c r="D337" s="59"/>
      <c r="E337" s="59"/>
      <c r="F337" s="59"/>
      <c r="G337" s="59"/>
      <c r="H337" s="59"/>
      <c r="I337" s="59"/>
      <c r="J337" s="59"/>
      <c r="K337" s="59"/>
      <c r="L337" s="59"/>
    </row>
    <row r="338">
      <c r="A338" s="59"/>
      <c r="B338" s="59"/>
      <c r="C338" s="59"/>
      <c r="D338" s="59"/>
      <c r="E338" s="59"/>
      <c r="F338" s="59"/>
      <c r="G338" s="59"/>
      <c r="H338" s="59"/>
      <c r="I338" s="59"/>
      <c r="J338" s="59"/>
      <c r="K338" s="59"/>
      <c r="L338" s="59"/>
    </row>
    <row r="339">
      <c r="A339" s="59"/>
      <c r="B339" s="59"/>
      <c r="C339" s="59"/>
      <c r="D339" s="59"/>
      <c r="E339" s="59"/>
      <c r="F339" s="59"/>
      <c r="G339" s="59"/>
      <c r="H339" s="59"/>
      <c r="I339" s="59"/>
      <c r="J339" s="59"/>
      <c r="K339" s="59"/>
      <c r="L339" s="59"/>
    </row>
    <row r="340">
      <c r="A340" s="59"/>
      <c r="B340" s="59"/>
      <c r="C340" s="59"/>
      <c r="D340" s="59"/>
      <c r="E340" s="59"/>
      <c r="F340" s="59"/>
      <c r="G340" s="59"/>
      <c r="H340" s="59"/>
      <c r="I340" s="59"/>
      <c r="J340" s="59"/>
      <c r="K340" s="59"/>
      <c r="L340" s="59"/>
    </row>
    <row r="341">
      <c r="A341" s="59"/>
      <c r="B341" s="59"/>
      <c r="C341" s="59"/>
      <c r="D341" s="59"/>
      <c r="E341" s="59"/>
      <c r="F341" s="59"/>
      <c r="G341" s="59"/>
      <c r="H341" s="59"/>
      <c r="I341" s="59"/>
      <c r="J341" s="59"/>
      <c r="K341" s="59"/>
      <c r="L341" s="59"/>
    </row>
    <row r="342">
      <c r="A342" s="59"/>
      <c r="B342" s="59"/>
      <c r="C342" s="59"/>
      <c r="D342" s="59"/>
      <c r="E342" s="59"/>
      <c r="F342" s="59"/>
      <c r="G342" s="59"/>
      <c r="H342" s="59"/>
      <c r="I342" s="59"/>
      <c r="J342" s="59"/>
      <c r="K342" s="59"/>
      <c r="L342" s="59"/>
    </row>
    <row r="343">
      <c r="A343" s="59"/>
      <c r="B343" s="59"/>
      <c r="C343" s="59"/>
      <c r="D343" s="59"/>
      <c r="E343" s="59"/>
      <c r="F343" s="59"/>
      <c r="G343" s="59"/>
      <c r="H343" s="59"/>
      <c r="I343" s="59"/>
      <c r="J343" s="59"/>
      <c r="K343" s="59"/>
      <c r="L343" s="59"/>
    </row>
    <row r="344">
      <c r="A344" s="59"/>
      <c r="B344" s="59"/>
      <c r="C344" s="59"/>
      <c r="D344" s="59"/>
      <c r="E344" s="59"/>
      <c r="F344" s="59"/>
      <c r="G344" s="59"/>
      <c r="H344" s="59"/>
      <c r="I344" s="59"/>
      <c r="J344" s="59"/>
      <c r="K344" s="59"/>
      <c r="L344" s="59"/>
    </row>
    <row r="345">
      <c r="A345" s="59"/>
      <c r="B345" s="59"/>
      <c r="C345" s="59"/>
      <c r="D345" s="59"/>
      <c r="E345" s="59"/>
      <c r="F345" s="59"/>
      <c r="G345" s="59"/>
      <c r="H345" s="59"/>
      <c r="I345" s="59"/>
      <c r="J345" s="59"/>
      <c r="K345" s="59"/>
      <c r="L345" s="59"/>
    </row>
    <row r="346">
      <c r="A346" s="59"/>
      <c r="B346" s="59"/>
      <c r="C346" s="59"/>
      <c r="D346" s="59"/>
      <c r="E346" s="59"/>
      <c r="F346" s="59"/>
      <c r="G346" s="59"/>
      <c r="H346" s="59"/>
      <c r="I346" s="59"/>
      <c r="J346" s="59"/>
      <c r="K346" s="59"/>
      <c r="L346" s="59"/>
    </row>
    <row r="347">
      <c r="A347" s="59"/>
      <c r="B347" s="59"/>
      <c r="C347" s="59"/>
      <c r="D347" s="59"/>
      <c r="E347" s="59"/>
      <c r="F347" s="59"/>
      <c r="G347" s="59"/>
      <c r="H347" s="59"/>
      <c r="I347" s="59"/>
      <c r="J347" s="59"/>
      <c r="K347" s="59"/>
      <c r="L347" s="59"/>
    </row>
    <row r="348">
      <c r="A348" s="59"/>
      <c r="B348" s="59"/>
      <c r="C348" s="59"/>
      <c r="D348" s="59"/>
      <c r="E348" s="59"/>
      <c r="F348" s="59"/>
      <c r="G348" s="59"/>
      <c r="H348" s="59"/>
      <c r="I348" s="59"/>
      <c r="J348" s="59"/>
      <c r="K348" s="59"/>
      <c r="L348" s="59"/>
    </row>
    <row r="349">
      <c r="A349" s="59"/>
      <c r="B349" s="59"/>
      <c r="C349" s="59"/>
      <c r="D349" s="59"/>
      <c r="E349" s="59"/>
      <c r="F349" s="59"/>
      <c r="G349" s="59"/>
      <c r="H349" s="59"/>
      <c r="I349" s="59"/>
      <c r="J349" s="59"/>
      <c r="K349" s="59"/>
      <c r="L349" s="59"/>
    </row>
    <row r="350">
      <c r="A350" s="59"/>
      <c r="B350" s="59"/>
      <c r="C350" s="59"/>
      <c r="D350" s="59"/>
      <c r="E350" s="59"/>
      <c r="F350" s="59"/>
      <c r="G350" s="59"/>
      <c r="H350" s="59"/>
      <c r="I350" s="59"/>
      <c r="J350" s="59"/>
      <c r="K350" s="59"/>
      <c r="L350" s="59"/>
    </row>
    <row r="351">
      <c r="A351" s="59"/>
      <c r="B351" s="59"/>
      <c r="C351" s="59"/>
      <c r="D351" s="59"/>
      <c r="E351" s="59"/>
      <c r="F351" s="59"/>
      <c r="G351" s="59"/>
      <c r="H351" s="59"/>
      <c r="I351" s="59"/>
      <c r="J351" s="59"/>
      <c r="K351" s="59"/>
      <c r="L351" s="59"/>
    </row>
    <row r="352">
      <c r="A352" s="59"/>
      <c r="B352" s="59"/>
      <c r="C352" s="59"/>
      <c r="D352" s="59"/>
      <c r="E352" s="59"/>
      <c r="F352" s="59"/>
      <c r="G352" s="59"/>
      <c r="H352" s="59"/>
      <c r="I352" s="59"/>
      <c r="J352" s="59"/>
      <c r="K352" s="59"/>
      <c r="L352" s="59"/>
    </row>
    <row r="353">
      <c r="A353" s="59"/>
      <c r="B353" s="59"/>
      <c r="C353" s="59"/>
      <c r="D353" s="59"/>
      <c r="E353" s="59"/>
      <c r="F353" s="59"/>
      <c r="G353" s="59"/>
      <c r="H353" s="59"/>
      <c r="I353" s="59"/>
      <c r="J353" s="59"/>
      <c r="K353" s="59"/>
      <c r="L353" s="59"/>
    </row>
    <row r="354">
      <c r="A354" s="59"/>
      <c r="B354" s="59"/>
      <c r="C354" s="59"/>
      <c r="D354" s="59"/>
      <c r="E354" s="59"/>
      <c r="F354" s="59"/>
      <c r="G354" s="59"/>
      <c r="H354" s="59"/>
      <c r="I354" s="59"/>
      <c r="J354" s="59"/>
      <c r="K354" s="59"/>
      <c r="L354" s="59"/>
    </row>
    <row r="355">
      <c r="A355" s="59"/>
      <c r="B355" s="59"/>
      <c r="C355" s="59"/>
      <c r="D355" s="59"/>
      <c r="E355" s="59"/>
      <c r="F355" s="59"/>
      <c r="G355" s="59"/>
      <c r="H355" s="59"/>
      <c r="I355" s="59"/>
      <c r="J355" s="59"/>
      <c r="K355" s="59"/>
      <c r="L355" s="59"/>
    </row>
    <row r="356">
      <c r="A356" s="59"/>
      <c r="B356" s="59"/>
      <c r="C356" s="59"/>
      <c r="D356" s="59"/>
      <c r="E356" s="59"/>
      <c r="F356" s="59"/>
      <c r="G356" s="59"/>
      <c r="H356" s="59"/>
      <c r="I356" s="59"/>
      <c r="J356" s="59"/>
      <c r="K356" s="59"/>
      <c r="L356" s="59"/>
    </row>
    <row r="357">
      <c r="A357" s="59"/>
      <c r="B357" s="59"/>
      <c r="C357" s="59"/>
      <c r="D357" s="59"/>
      <c r="E357" s="59"/>
      <c r="F357" s="59"/>
      <c r="G357" s="59"/>
      <c r="H357" s="59"/>
      <c r="I357" s="59"/>
      <c r="J357" s="59"/>
      <c r="K357" s="59"/>
      <c r="L357" s="59"/>
    </row>
    <row r="358">
      <c r="A358" s="59"/>
      <c r="B358" s="59"/>
      <c r="C358" s="59"/>
      <c r="D358" s="59"/>
      <c r="E358" s="59"/>
      <c r="F358" s="59"/>
      <c r="G358" s="59"/>
      <c r="H358" s="59"/>
      <c r="I358" s="59"/>
      <c r="J358" s="59"/>
      <c r="K358" s="59"/>
      <c r="L358" s="59"/>
    </row>
    <row r="359">
      <c r="A359" s="59"/>
      <c r="B359" s="59"/>
      <c r="C359" s="59"/>
      <c r="D359" s="59"/>
      <c r="E359" s="59"/>
      <c r="F359" s="59"/>
      <c r="G359" s="59"/>
      <c r="H359" s="59"/>
      <c r="I359" s="59"/>
      <c r="J359" s="59"/>
      <c r="K359" s="59"/>
      <c r="L359" s="59"/>
    </row>
    <row r="360">
      <c r="A360" s="59"/>
      <c r="B360" s="59"/>
      <c r="C360" s="59"/>
      <c r="D360" s="59"/>
      <c r="E360" s="59"/>
      <c r="F360" s="59"/>
      <c r="G360" s="59"/>
      <c r="H360" s="59"/>
      <c r="I360" s="59"/>
      <c r="J360" s="59"/>
      <c r="K360" s="59"/>
      <c r="L360" s="59"/>
    </row>
    <row r="361">
      <c r="A361" s="59"/>
      <c r="B361" s="59"/>
      <c r="C361" s="59"/>
      <c r="D361" s="59"/>
      <c r="E361" s="59"/>
      <c r="F361" s="59"/>
      <c r="G361" s="59"/>
      <c r="H361" s="59"/>
      <c r="I361" s="59"/>
      <c r="J361" s="59"/>
      <c r="K361" s="59"/>
      <c r="L361" s="59"/>
    </row>
    <row r="362">
      <c r="A362" s="59"/>
      <c r="B362" s="59"/>
      <c r="C362" s="59"/>
      <c r="D362" s="59"/>
      <c r="E362" s="59"/>
      <c r="F362" s="59"/>
      <c r="G362" s="59"/>
      <c r="H362" s="59"/>
      <c r="I362" s="59"/>
      <c r="J362" s="59"/>
      <c r="K362" s="59"/>
      <c r="L362" s="59"/>
    </row>
    <row r="363">
      <c r="A363" s="59"/>
      <c r="B363" s="59"/>
      <c r="C363" s="59"/>
      <c r="D363" s="59"/>
      <c r="E363" s="59"/>
      <c r="F363" s="59"/>
      <c r="G363" s="59"/>
      <c r="H363" s="59"/>
      <c r="I363" s="59"/>
      <c r="J363" s="59"/>
      <c r="K363" s="59"/>
      <c r="L363" s="59"/>
    </row>
    <row r="364">
      <c r="A364" s="59"/>
      <c r="B364" s="59"/>
      <c r="C364" s="59"/>
      <c r="D364" s="59"/>
      <c r="E364" s="59"/>
      <c r="F364" s="59"/>
      <c r="G364" s="59"/>
      <c r="H364" s="59"/>
      <c r="I364" s="59"/>
      <c r="J364" s="59"/>
      <c r="K364" s="59"/>
      <c r="L364" s="59"/>
    </row>
    <row r="365">
      <c r="A365" s="59"/>
      <c r="B365" s="59"/>
      <c r="C365" s="59"/>
      <c r="D365" s="59"/>
      <c r="E365" s="59"/>
      <c r="F365" s="59"/>
      <c r="G365" s="59"/>
      <c r="H365" s="59"/>
      <c r="I365" s="59"/>
      <c r="J365" s="59"/>
      <c r="K365" s="59"/>
      <c r="L365" s="59"/>
    </row>
    <row r="366">
      <c r="A366" s="59"/>
      <c r="B366" s="59"/>
      <c r="C366" s="59"/>
      <c r="D366" s="59"/>
      <c r="E366" s="59"/>
      <c r="F366" s="59"/>
      <c r="G366" s="59"/>
      <c r="H366" s="59"/>
      <c r="I366" s="59"/>
      <c r="J366" s="59"/>
      <c r="K366" s="59"/>
      <c r="L366" s="59"/>
    </row>
    <row r="367">
      <c r="A367" s="59"/>
      <c r="B367" s="59"/>
      <c r="C367" s="59"/>
      <c r="D367" s="59"/>
      <c r="E367" s="59"/>
      <c r="F367" s="59"/>
      <c r="G367" s="59"/>
      <c r="H367" s="59"/>
      <c r="I367" s="59"/>
      <c r="J367" s="59"/>
      <c r="K367" s="59"/>
      <c r="L367" s="59"/>
    </row>
    <row r="368">
      <c r="A368" s="59"/>
      <c r="B368" s="59"/>
      <c r="C368" s="59"/>
      <c r="D368" s="59"/>
      <c r="E368" s="59"/>
      <c r="F368" s="59"/>
      <c r="G368" s="59"/>
      <c r="H368" s="59"/>
      <c r="I368" s="59"/>
      <c r="J368" s="59"/>
      <c r="K368" s="59"/>
      <c r="L368" s="59"/>
    </row>
    <row r="369">
      <c r="A369" s="59"/>
      <c r="B369" s="59"/>
      <c r="C369" s="59"/>
      <c r="D369" s="59"/>
      <c r="E369" s="59"/>
      <c r="F369" s="59"/>
      <c r="G369" s="59"/>
      <c r="H369" s="59"/>
      <c r="I369" s="59"/>
      <c r="J369" s="59"/>
      <c r="K369" s="59"/>
      <c r="L369" s="59"/>
    </row>
    <row r="370">
      <c r="A370" s="59"/>
      <c r="B370" s="59"/>
      <c r="C370" s="59"/>
      <c r="D370" s="59"/>
      <c r="E370" s="59"/>
      <c r="F370" s="59"/>
      <c r="G370" s="59"/>
      <c r="H370" s="59"/>
      <c r="I370" s="59"/>
      <c r="J370" s="59"/>
      <c r="K370" s="59"/>
      <c r="L370" s="59"/>
    </row>
    <row r="371">
      <c r="A371" s="59"/>
      <c r="B371" s="59"/>
      <c r="C371" s="59"/>
      <c r="D371" s="59"/>
      <c r="E371" s="59"/>
      <c r="F371" s="59"/>
      <c r="G371" s="59"/>
      <c r="H371" s="59"/>
      <c r="I371" s="59"/>
      <c r="J371" s="59"/>
      <c r="K371" s="59"/>
      <c r="L371" s="59"/>
    </row>
    <row r="372">
      <c r="A372" s="59"/>
      <c r="B372" s="59"/>
      <c r="C372" s="59"/>
      <c r="D372" s="59"/>
      <c r="E372" s="59"/>
      <c r="F372" s="59"/>
      <c r="G372" s="59"/>
      <c r="H372" s="59"/>
      <c r="I372" s="59"/>
      <c r="J372" s="59"/>
      <c r="K372" s="59"/>
      <c r="L372" s="59"/>
    </row>
    <row r="373">
      <c r="A373" s="59"/>
      <c r="B373" s="59"/>
      <c r="C373" s="59"/>
      <c r="D373" s="59"/>
      <c r="E373" s="59"/>
      <c r="F373" s="59"/>
      <c r="G373" s="59"/>
      <c r="H373" s="59"/>
      <c r="I373" s="59"/>
      <c r="J373" s="59"/>
      <c r="K373" s="59"/>
      <c r="L373" s="59"/>
    </row>
    <row r="374">
      <c r="A374" s="59"/>
      <c r="B374" s="59"/>
      <c r="C374" s="59"/>
      <c r="D374" s="59"/>
      <c r="E374" s="59"/>
      <c r="F374" s="59"/>
      <c r="G374" s="59"/>
      <c r="H374" s="59"/>
      <c r="I374" s="59"/>
      <c r="J374" s="59"/>
      <c r="K374" s="59"/>
      <c r="L374" s="59"/>
    </row>
    <row r="375">
      <c r="A375" s="59"/>
      <c r="B375" s="59"/>
      <c r="C375" s="59"/>
      <c r="D375" s="59"/>
      <c r="E375" s="59"/>
      <c r="F375" s="59"/>
      <c r="G375" s="59"/>
      <c r="H375" s="59"/>
      <c r="I375" s="59"/>
      <c r="J375" s="59"/>
      <c r="K375" s="59"/>
      <c r="L375" s="59"/>
    </row>
    <row r="376">
      <c r="A376" s="59"/>
      <c r="B376" s="59"/>
      <c r="C376" s="59"/>
      <c r="D376" s="59"/>
      <c r="E376" s="59"/>
      <c r="F376" s="59"/>
      <c r="G376" s="59"/>
      <c r="H376" s="59"/>
      <c r="I376" s="59"/>
      <c r="J376" s="59"/>
      <c r="K376" s="59"/>
      <c r="L376" s="59"/>
    </row>
    <row r="377">
      <c r="A377" s="59"/>
      <c r="B377" s="59"/>
      <c r="C377" s="59"/>
      <c r="D377" s="59"/>
      <c r="E377" s="59"/>
      <c r="F377" s="59"/>
      <c r="G377" s="59"/>
      <c r="H377" s="59"/>
      <c r="I377" s="59"/>
      <c r="J377" s="59"/>
      <c r="K377" s="59"/>
      <c r="L377" s="59"/>
    </row>
    <row r="378">
      <c r="A378" s="59"/>
      <c r="B378" s="59"/>
      <c r="C378" s="59"/>
      <c r="D378" s="59"/>
      <c r="E378" s="59"/>
      <c r="F378" s="59"/>
      <c r="G378" s="59"/>
      <c r="H378" s="59"/>
      <c r="I378" s="59"/>
      <c r="J378" s="59"/>
      <c r="K378" s="59"/>
      <c r="L378" s="59"/>
    </row>
    <row r="379">
      <c r="A379" s="59"/>
      <c r="B379" s="59"/>
      <c r="C379" s="59"/>
      <c r="D379" s="59"/>
      <c r="E379" s="59"/>
      <c r="F379" s="59"/>
      <c r="G379" s="59"/>
      <c r="H379" s="59"/>
      <c r="I379" s="59"/>
      <c r="J379" s="59"/>
      <c r="K379" s="59"/>
      <c r="L379" s="59"/>
    </row>
    <row r="380">
      <c r="A380" s="59"/>
      <c r="B380" s="59"/>
      <c r="C380" s="59"/>
      <c r="D380" s="59"/>
      <c r="E380" s="59"/>
      <c r="F380" s="59"/>
      <c r="G380" s="59"/>
      <c r="H380" s="59"/>
      <c r="I380" s="59"/>
      <c r="J380" s="59"/>
      <c r="K380" s="59"/>
      <c r="L380" s="59"/>
    </row>
    <row r="381">
      <c r="A381" s="59"/>
      <c r="B381" s="59"/>
      <c r="C381" s="59"/>
      <c r="D381" s="59"/>
      <c r="E381" s="59"/>
      <c r="F381" s="59"/>
      <c r="G381" s="59"/>
      <c r="H381" s="59"/>
      <c r="I381" s="59"/>
      <c r="J381" s="59"/>
      <c r="K381" s="59"/>
      <c r="L381" s="59"/>
    </row>
    <row r="382">
      <c r="A382" s="59"/>
      <c r="B382" s="59"/>
      <c r="C382" s="59"/>
      <c r="D382" s="59"/>
      <c r="E382" s="59"/>
      <c r="F382" s="59"/>
      <c r="G382" s="59"/>
      <c r="H382" s="59"/>
      <c r="I382" s="59"/>
      <c r="J382" s="59"/>
      <c r="K382" s="59"/>
      <c r="L382" s="59"/>
    </row>
    <row r="383">
      <c r="A383" s="59"/>
      <c r="B383" s="59"/>
      <c r="C383" s="59"/>
      <c r="D383" s="59"/>
      <c r="E383" s="59"/>
      <c r="F383" s="59"/>
      <c r="G383" s="59"/>
      <c r="H383" s="59"/>
      <c r="I383" s="59"/>
      <c r="J383" s="59"/>
      <c r="K383" s="59"/>
      <c r="L383" s="59"/>
    </row>
    <row r="384">
      <c r="A384" s="59"/>
      <c r="B384" s="59"/>
      <c r="C384" s="59"/>
      <c r="D384" s="59"/>
      <c r="E384" s="59"/>
      <c r="F384" s="59"/>
      <c r="G384" s="59"/>
      <c r="H384" s="59"/>
      <c r="I384" s="59"/>
      <c r="J384" s="59"/>
      <c r="K384" s="59"/>
      <c r="L384" s="59"/>
    </row>
    <row r="385">
      <c r="A385" s="59"/>
      <c r="B385" s="59"/>
      <c r="C385" s="59"/>
      <c r="D385" s="59"/>
      <c r="E385" s="59"/>
      <c r="F385" s="59"/>
      <c r="G385" s="59"/>
      <c r="H385" s="59"/>
      <c r="I385" s="59"/>
      <c r="J385" s="59"/>
      <c r="K385" s="59"/>
      <c r="L385" s="59"/>
    </row>
    <row r="386">
      <c r="A386" s="59"/>
      <c r="B386" s="59"/>
      <c r="C386" s="59"/>
      <c r="D386" s="59"/>
      <c r="E386" s="59"/>
      <c r="F386" s="59"/>
      <c r="G386" s="59"/>
      <c r="H386" s="59"/>
      <c r="I386" s="59"/>
      <c r="J386" s="59"/>
      <c r="K386" s="59"/>
      <c r="L386" s="59"/>
    </row>
    <row r="387">
      <c r="A387" s="59"/>
      <c r="B387" s="59"/>
      <c r="C387" s="59"/>
      <c r="D387" s="59"/>
      <c r="E387" s="59"/>
      <c r="F387" s="59"/>
      <c r="G387" s="59"/>
      <c r="H387" s="59"/>
      <c r="I387" s="59"/>
      <c r="J387" s="59"/>
      <c r="K387" s="59"/>
      <c r="L387" s="59"/>
    </row>
    <row r="388">
      <c r="A388" s="59"/>
      <c r="B388" s="59"/>
      <c r="C388" s="59"/>
      <c r="D388" s="59"/>
      <c r="E388" s="59"/>
      <c r="F388" s="59"/>
      <c r="G388" s="59"/>
      <c r="H388" s="59"/>
      <c r="I388" s="59"/>
      <c r="J388" s="59"/>
      <c r="K388" s="59"/>
      <c r="L388" s="59"/>
    </row>
    <row r="389">
      <c r="A389" s="59"/>
      <c r="B389" s="59"/>
      <c r="C389" s="59"/>
      <c r="D389" s="59"/>
      <c r="E389" s="59"/>
      <c r="F389" s="59"/>
      <c r="G389" s="59"/>
      <c r="H389" s="59"/>
      <c r="I389" s="59"/>
      <c r="J389" s="59"/>
      <c r="K389" s="59"/>
      <c r="L389" s="59"/>
    </row>
    <row r="390">
      <c r="A390" s="59"/>
      <c r="B390" s="59"/>
      <c r="C390" s="59"/>
      <c r="D390" s="59"/>
      <c r="E390" s="59"/>
      <c r="F390" s="59"/>
      <c r="G390" s="59"/>
      <c r="H390" s="59"/>
      <c r="I390" s="59"/>
      <c r="J390" s="59"/>
      <c r="K390" s="59"/>
      <c r="L390" s="59"/>
    </row>
    <row r="391">
      <c r="A391" s="59"/>
      <c r="B391" s="59"/>
      <c r="C391" s="59"/>
      <c r="D391" s="59"/>
      <c r="E391" s="59"/>
      <c r="F391" s="59"/>
      <c r="G391" s="59"/>
      <c r="H391" s="59"/>
      <c r="I391" s="59"/>
      <c r="J391" s="59"/>
      <c r="K391" s="59"/>
      <c r="L391" s="59"/>
    </row>
    <row r="392">
      <c r="A392" s="59"/>
      <c r="B392" s="59"/>
      <c r="C392" s="59"/>
      <c r="D392" s="59"/>
      <c r="E392" s="59"/>
      <c r="F392" s="59"/>
      <c r="G392" s="59"/>
      <c r="H392" s="59"/>
      <c r="I392" s="59"/>
      <c r="J392" s="59"/>
      <c r="K392" s="59"/>
      <c r="L392" s="59"/>
    </row>
    <row r="393">
      <c r="A393" s="59"/>
      <c r="B393" s="59"/>
      <c r="C393" s="59"/>
      <c r="D393" s="59"/>
      <c r="E393" s="59"/>
      <c r="F393" s="59"/>
      <c r="G393" s="59"/>
      <c r="H393" s="59"/>
      <c r="I393" s="59"/>
      <c r="J393" s="59"/>
      <c r="K393" s="59"/>
      <c r="L393" s="59"/>
    </row>
    <row r="394">
      <c r="A394" s="59"/>
      <c r="B394" s="59"/>
      <c r="C394" s="59"/>
      <c r="D394" s="59"/>
      <c r="E394" s="59"/>
      <c r="F394" s="59"/>
      <c r="G394" s="59"/>
      <c r="H394" s="59"/>
      <c r="I394" s="59"/>
      <c r="J394" s="59"/>
      <c r="K394" s="59"/>
      <c r="L394" s="59"/>
    </row>
    <row r="395">
      <c r="A395" s="59"/>
      <c r="B395" s="59"/>
      <c r="C395" s="59"/>
      <c r="D395" s="59"/>
      <c r="E395" s="59"/>
      <c r="F395" s="59"/>
      <c r="G395" s="59"/>
      <c r="H395" s="59"/>
      <c r="I395" s="59"/>
      <c r="J395" s="59"/>
      <c r="K395" s="59"/>
      <c r="L395" s="59"/>
    </row>
    <row r="396">
      <c r="A396" s="59"/>
      <c r="B396" s="59"/>
      <c r="C396" s="59"/>
      <c r="D396" s="59"/>
      <c r="E396" s="59"/>
      <c r="F396" s="59"/>
      <c r="G396" s="59"/>
      <c r="H396" s="59"/>
      <c r="I396" s="59"/>
      <c r="J396" s="59"/>
      <c r="K396" s="59"/>
      <c r="L396" s="59"/>
    </row>
    <row r="397">
      <c r="A397" s="59"/>
      <c r="B397" s="59"/>
      <c r="C397" s="59"/>
      <c r="D397" s="59"/>
      <c r="E397" s="59"/>
      <c r="F397" s="59"/>
      <c r="G397" s="59"/>
      <c r="H397" s="59"/>
      <c r="I397" s="59"/>
      <c r="J397" s="59"/>
      <c r="K397" s="59"/>
      <c r="L397" s="59"/>
    </row>
    <row r="398">
      <c r="A398" s="59"/>
      <c r="B398" s="59"/>
      <c r="C398" s="59"/>
      <c r="D398" s="59"/>
      <c r="E398" s="59"/>
      <c r="F398" s="59"/>
      <c r="G398" s="59"/>
      <c r="H398" s="59"/>
      <c r="I398" s="59"/>
      <c r="J398" s="59"/>
      <c r="K398" s="59"/>
      <c r="L398" s="59"/>
    </row>
    <row r="399">
      <c r="A399" s="59"/>
      <c r="B399" s="59"/>
      <c r="C399" s="59"/>
      <c r="D399" s="59"/>
      <c r="E399" s="59"/>
      <c r="F399" s="59"/>
      <c r="G399" s="59"/>
      <c r="H399" s="59"/>
      <c r="I399" s="59"/>
      <c r="J399" s="59"/>
      <c r="K399" s="59"/>
      <c r="L399" s="59"/>
    </row>
    <row r="400">
      <c r="A400" s="59"/>
      <c r="B400" s="59"/>
      <c r="C400" s="59"/>
      <c r="D400" s="59"/>
      <c r="E400" s="59"/>
      <c r="F400" s="59"/>
      <c r="G400" s="59"/>
      <c r="H400" s="59"/>
      <c r="I400" s="59"/>
      <c r="J400" s="59"/>
      <c r="K400" s="59"/>
      <c r="L400" s="59"/>
    </row>
    <row r="401">
      <c r="A401" s="59"/>
      <c r="B401" s="59"/>
      <c r="C401" s="59"/>
      <c r="D401" s="59"/>
      <c r="E401" s="59"/>
      <c r="F401" s="59"/>
      <c r="G401" s="59"/>
      <c r="H401" s="59"/>
      <c r="I401" s="59"/>
      <c r="J401" s="59"/>
      <c r="K401" s="59"/>
      <c r="L401" s="59"/>
    </row>
    <row r="402">
      <c r="A402" s="59"/>
      <c r="B402" s="59"/>
      <c r="C402" s="59"/>
      <c r="D402" s="59"/>
      <c r="E402" s="59"/>
      <c r="F402" s="59"/>
      <c r="G402" s="59"/>
      <c r="H402" s="59"/>
      <c r="I402" s="59"/>
      <c r="J402" s="59"/>
      <c r="K402" s="59"/>
      <c r="L402" s="59"/>
    </row>
    <row r="403">
      <c r="A403" s="59"/>
      <c r="B403" s="59"/>
      <c r="C403" s="59"/>
      <c r="D403" s="59"/>
      <c r="E403" s="59"/>
      <c r="F403" s="59"/>
      <c r="G403" s="59"/>
      <c r="H403" s="59"/>
      <c r="I403" s="59"/>
      <c r="J403" s="59"/>
      <c r="K403" s="59"/>
      <c r="L403" s="59"/>
    </row>
    <row r="404">
      <c r="A404" s="59"/>
      <c r="B404" s="59"/>
      <c r="C404" s="59"/>
      <c r="D404" s="59"/>
      <c r="E404" s="59"/>
      <c r="F404" s="59"/>
      <c r="G404" s="59"/>
      <c r="H404" s="59"/>
      <c r="I404" s="59"/>
      <c r="J404" s="59"/>
      <c r="K404" s="59"/>
      <c r="L404" s="59"/>
    </row>
    <row r="405">
      <c r="A405" s="59"/>
      <c r="B405" s="59"/>
      <c r="C405" s="59"/>
      <c r="D405" s="59"/>
      <c r="E405" s="59"/>
      <c r="F405" s="59"/>
      <c r="G405" s="59"/>
      <c r="H405" s="59"/>
      <c r="I405" s="59"/>
      <c r="J405" s="59"/>
      <c r="K405" s="59"/>
      <c r="L405" s="59"/>
    </row>
    <row r="406">
      <c r="A406" s="59"/>
      <c r="B406" s="59"/>
      <c r="C406" s="59"/>
      <c r="D406" s="59"/>
      <c r="E406" s="59"/>
      <c r="F406" s="59"/>
      <c r="G406" s="59"/>
      <c r="H406" s="59"/>
      <c r="I406" s="59"/>
      <c r="J406" s="59"/>
      <c r="K406" s="59"/>
      <c r="L406" s="59"/>
    </row>
    <row r="407">
      <c r="A407" s="59"/>
      <c r="B407" s="59"/>
      <c r="C407" s="59"/>
      <c r="D407" s="59"/>
      <c r="E407" s="59"/>
      <c r="F407" s="59"/>
      <c r="G407" s="59"/>
      <c r="H407" s="59"/>
      <c r="I407" s="59"/>
      <c r="J407" s="59"/>
      <c r="K407" s="59"/>
      <c r="L407" s="59"/>
    </row>
    <row r="408">
      <c r="A408" s="59"/>
      <c r="B408" s="59"/>
      <c r="C408" s="59"/>
      <c r="D408" s="59"/>
      <c r="E408" s="59"/>
      <c r="F408" s="59"/>
      <c r="G408" s="59"/>
      <c r="H408" s="59"/>
      <c r="I408" s="59"/>
      <c r="J408" s="59"/>
      <c r="K408" s="59"/>
      <c r="L408" s="59"/>
    </row>
    <row r="409">
      <c r="A409" s="59"/>
      <c r="B409" s="59"/>
      <c r="C409" s="59"/>
      <c r="D409" s="59"/>
      <c r="E409" s="59"/>
      <c r="F409" s="59"/>
      <c r="G409" s="59"/>
      <c r="H409" s="59"/>
      <c r="I409" s="59"/>
      <c r="J409" s="59"/>
      <c r="K409" s="59"/>
      <c r="L409" s="59"/>
    </row>
    <row r="410">
      <c r="A410" s="59"/>
      <c r="B410" s="59"/>
      <c r="C410" s="59"/>
      <c r="D410" s="59"/>
      <c r="E410" s="59"/>
      <c r="F410" s="59"/>
      <c r="G410" s="59"/>
      <c r="H410" s="59"/>
      <c r="I410" s="59"/>
      <c r="J410" s="59"/>
      <c r="K410" s="59"/>
      <c r="L410" s="59"/>
    </row>
    <row r="411">
      <c r="A411" s="59"/>
      <c r="B411" s="59"/>
      <c r="C411" s="59"/>
      <c r="D411" s="59"/>
      <c r="E411" s="59"/>
      <c r="F411" s="59"/>
      <c r="G411" s="59"/>
      <c r="H411" s="59"/>
      <c r="I411" s="59"/>
      <c r="J411" s="59"/>
      <c r="K411" s="59"/>
      <c r="L411" s="59"/>
    </row>
    <row r="412">
      <c r="A412" s="59"/>
      <c r="B412" s="59"/>
      <c r="C412" s="59"/>
      <c r="D412" s="59"/>
      <c r="E412" s="59"/>
      <c r="F412" s="59"/>
      <c r="G412" s="59"/>
      <c r="H412" s="59"/>
      <c r="I412" s="59"/>
      <c r="J412" s="59"/>
      <c r="K412" s="59"/>
      <c r="L412" s="59"/>
    </row>
    <row r="413">
      <c r="A413" s="59"/>
      <c r="B413" s="59"/>
      <c r="C413" s="59"/>
      <c r="D413" s="59"/>
      <c r="E413" s="59"/>
      <c r="F413" s="59"/>
      <c r="G413" s="59"/>
      <c r="H413" s="59"/>
      <c r="I413" s="59"/>
      <c r="J413" s="59"/>
      <c r="K413" s="59"/>
      <c r="L413" s="59"/>
    </row>
    <row r="414">
      <c r="A414" s="59"/>
      <c r="B414" s="59"/>
      <c r="C414" s="59"/>
      <c r="D414" s="59"/>
      <c r="E414" s="59"/>
      <c r="F414" s="59"/>
      <c r="G414" s="59"/>
      <c r="H414" s="59"/>
      <c r="I414" s="59"/>
      <c r="J414" s="59"/>
      <c r="K414" s="59"/>
      <c r="L414" s="59"/>
    </row>
    <row r="415">
      <c r="A415" s="59"/>
      <c r="B415" s="59"/>
      <c r="C415" s="59"/>
      <c r="D415" s="59"/>
      <c r="E415" s="59"/>
      <c r="F415" s="59"/>
      <c r="G415" s="59"/>
      <c r="H415" s="59"/>
      <c r="I415" s="59"/>
      <c r="J415" s="59"/>
      <c r="K415" s="59"/>
      <c r="L415" s="59"/>
    </row>
    <row r="416">
      <c r="A416" s="59"/>
      <c r="B416" s="59"/>
      <c r="C416" s="59"/>
      <c r="D416" s="59"/>
      <c r="E416" s="59"/>
      <c r="F416" s="59"/>
      <c r="G416" s="59"/>
      <c r="H416" s="59"/>
      <c r="I416" s="59"/>
      <c r="J416" s="59"/>
      <c r="K416" s="59"/>
      <c r="L416" s="59"/>
    </row>
    <row r="417">
      <c r="A417" s="59"/>
      <c r="B417" s="59"/>
      <c r="C417" s="59"/>
      <c r="D417" s="59"/>
      <c r="E417" s="59"/>
      <c r="F417" s="59"/>
      <c r="G417" s="59"/>
      <c r="H417" s="59"/>
      <c r="I417" s="59"/>
      <c r="J417" s="59"/>
      <c r="K417" s="59"/>
      <c r="L417" s="59"/>
    </row>
    <row r="418">
      <c r="A418" s="59"/>
      <c r="B418" s="59"/>
      <c r="C418" s="59"/>
      <c r="D418" s="59"/>
      <c r="E418" s="59"/>
      <c r="F418" s="59"/>
      <c r="G418" s="59"/>
      <c r="H418" s="59"/>
      <c r="I418" s="59"/>
      <c r="J418" s="59"/>
      <c r="K418" s="59"/>
      <c r="L418" s="59"/>
    </row>
    <row r="419">
      <c r="A419" s="59"/>
      <c r="B419" s="59"/>
      <c r="C419" s="59"/>
      <c r="D419" s="59"/>
      <c r="E419" s="59"/>
      <c r="F419" s="59"/>
      <c r="G419" s="59"/>
      <c r="H419" s="59"/>
      <c r="I419" s="59"/>
      <c r="J419" s="59"/>
      <c r="K419" s="59"/>
      <c r="L419" s="59"/>
    </row>
    <row r="420">
      <c r="A420" s="59"/>
      <c r="B420" s="59"/>
      <c r="C420" s="59"/>
      <c r="D420" s="59"/>
      <c r="E420" s="59"/>
      <c r="F420" s="59"/>
      <c r="G420" s="59"/>
      <c r="H420" s="59"/>
      <c r="I420" s="59"/>
      <c r="J420" s="59"/>
      <c r="K420" s="59"/>
      <c r="L420" s="59"/>
    </row>
    <row r="421">
      <c r="A421" s="59"/>
      <c r="B421" s="59"/>
      <c r="C421" s="59"/>
      <c r="D421" s="59"/>
      <c r="E421" s="59"/>
      <c r="F421" s="59"/>
      <c r="G421" s="59"/>
      <c r="H421" s="59"/>
      <c r="I421" s="59"/>
      <c r="J421" s="59"/>
      <c r="K421" s="59"/>
      <c r="L421" s="59"/>
    </row>
    <row r="422">
      <c r="A422" s="59"/>
      <c r="B422" s="59"/>
      <c r="C422" s="59"/>
      <c r="D422" s="59"/>
      <c r="E422" s="59"/>
      <c r="F422" s="59"/>
      <c r="G422" s="59"/>
      <c r="H422" s="59"/>
      <c r="I422" s="59"/>
      <c r="J422" s="59"/>
      <c r="K422" s="59"/>
      <c r="L422" s="59"/>
    </row>
    <row r="423">
      <c r="A423" s="59"/>
      <c r="B423" s="59"/>
      <c r="C423" s="59"/>
      <c r="D423" s="59"/>
      <c r="E423" s="59"/>
      <c r="F423" s="59"/>
      <c r="G423" s="59"/>
      <c r="H423" s="59"/>
      <c r="I423" s="59"/>
      <c r="J423" s="59"/>
      <c r="K423" s="59"/>
      <c r="L423" s="59"/>
    </row>
    <row r="424">
      <c r="A424" s="59"/>
      <c r="B424" s="59"/>
      <c r="C424" s="59"/>
      <c r="D424" s="59"/>
      <c r="E424" s="59"/>
      <c r="F424" s="59"/>
      <c r="G424" s="59"/>
      <c r="H424" s="59"/>
      <c r="I424" s="59"/>
      <c r="J424" s="59"/>
      <c r="K424" s="59"/>
      <c r="L424" s="59"/>
    </row>
    <row r="425">
      <c r="A425" s="59"/>
      <c r="B425" s="59"/>
      <c r="C425" s="59"/>
      <c r="D425" s="59"/>
      <c r="E425" s="59"/>
      <c r="F425" s="59"/>
      <c r="G425" s="59"/>
      <c r="H425" s="59"/>
      <c r="I425" s="59"/>
      <c r="J425" s="59"/>
      <c r="K425" s="59"/>
      <c r="L425" s="59"/>
    </row>
    <row r="426">
      <c r="A426" s="59"/>
      <c r="B426" s="59"/>
      <c r="C426" s="59"/>
      <c r="D426" s="59"/>
      <c r="E426" s="59"/>
      <c r="F426" s="59"/>
      <c r="G426" s="59"/>
      <c r="H426" s="59"/>
      <c r="I426" s="59"/>
      <c r="J426" s="59"/>
      <c r="K426" s="59"/>
      <c r="L426" s="59"/>
    </row>
    <row r="427">
      <c r="A427" s="59"/>
      <c r="B427" s="59"/>
      <c r="C427" s="59"/>
      <c r="D427" s="59"/>
      <c r="E427" s="59"/>
      <c r="F427" s="59"/>
      <c r="G427" s="59"/>
      <c r="H427" s="59"/>
      <c r="I427" s="59"/>
      <c r="J427" s="59"/>
      <c r="K427" s="59"/>
      <c r="L427" s="59"/>
    </row>
    <row r="428">
      <c r="A428" s="59"/>
      <c r="B428" s="59"/>
      <c r="C428" s="59"/>
      <c r="D428" s="59"/>
      <c r="E428" s="59"/>
      <c r="F428" s="59"/>
      <c r="G428" s="59"/>
      <c r="H428" s="59"/>
      <c r="I428" s="59"/>
      <c r="J428" s="59"/>
      <c r="K428" s="59"/>
      <c r="L428" s="59"/>
    </row>
    <row r="429">
      <c r="A429" s="59"/>
      <c r="B429" s="59"/>
      <c r="C429" s="59"/>
      <c r="D429" s="59"/>
      <c r="E429" s="59"/>
      <c r="F429" s="59"/>
      <c r="G429" s="59"/>
      <c r="H429" s="59"/>
      <c r="I429" s="59"/>
      <c r="J429" s="59"/>
      <c r="K429" s="59"/>
      <c r="L429" s="59"/>
    </row>
    <row r="430">
      <c r="A430" s="59"/>
      <c r="B430" s="59"/>
      <c r="C430" s="59"/>
      <c r="D430" s="59"/>
      <c r="E430" s="59"/>
      <c r="F430" s="59"/>
      <c r="G430" s="59"/>
      <c r="H430" s="59"/>
      <c r="I430" s="59"/>
      <c r="J430" s="59"/>
      <c r="K430" s="59"/>
      <c r="L430" s="59"/>
    </row>
    <row r="431">
      <c r="A431" s="59"/>
      <c r="B431" s="59"/>
      <c r="C431" s="59"/>
      <c r="D431" s="59"/>
      <c r="E431" s="59"/>
      <c r="F431" s="59"/>
      <c r="G431" s="59"/>
      <c r="H431" s="59"/>
      <c r="I431" s="59"/>
      <c r="J431" s="59"/>
      <c r="K431" s="59"/>
      <c r="L431" s="59"/>
    </row>
    <row r="432">
      <c r="A432" s="59"/>
      <c r="B432" s="59"/>
      <c r="C432" s="59"/>
      <c r="D432" s="59"/>
      <c r="E432" s="59"/>
      <c r="F432" s="59"/>
      <c r="G432" s="59"/>
      <c r="H432" s="59"/>
      <c r="I432" s="59"/>
      <c r="J432" s="59"/>
      <c r="K432" s="59"/>
      <c r="L432" s="59"/>
    </row>
    <row r="433">
      <c r="A433" s="59"/>
      <c r="B433" s="59"/>
      <c r="C433" s="59"/>
      <c r="D433" s="59"/>
      <c r="E433" s="59"/>
      <c r="F433" s="59"/>
      <c r="G433" s="59"/>
      <c r="H433" s="59"/>
      <c r="I433" s="59"/>
      <c r="J433" s="59"/>
      <c r="K433" s="59"/>
      <c r="L433" s="59"/>
    </row>
    <row r="434">
      <c r="A434" s="59"/>
      <c r="B434" s="59"/>
      <c r="C434" s="59"/>
      <c r="D434" s="59"/>
      <c r="E434" s="59"/>
      <c r="F434" s="59"/>
      <c r="G434" s="59"/>
      <c r="H434" s="59"/>
      <c r="I434" s="59"/>
      <c r="J434" s="59"/>
      <c r="K434" s="59"/>
      <c r="L434" s="59"/>
    </row>
    <row r="435">
      <c r="A435" s="59"/>
      <c r="B435" s="59"/>
      <c r="C435" s="59"/>
      <c r="D435" s="59"/>
      <c r="E435" s="59"/>
      <c r="F435" s="59"/>
      <c r="G435" s="59"/>
      <c r="H435" s="59"/>
      <c r="I435" s="59"/>
      <c r="J435" s="59"/>
      <c r="K435" s="59"/>
      <c r="L435" s="59"/>
    </row>
    <row r="436">
      <c r="A436" s="59"/>
      <c r="B436" s="59"/>
      <c r="C436" s="59"/>
      <c r="D436" s="59"/>
      <c r="E436" s="59"/>
      <c r="F436" s="59"/>
      <c r="G436" s="59"/>
      <c r="H436" s="59"/>
      <c r="I436" s="59"/>
      <c r="J436" s="59"/>
      <c r="K436" s="59"/>
      <c r="L436" s="59"/>
    </row>
    <row r="437">
      <c r="A437" s="59"/>
      <c r="B437" s="59"/>
      <c r="C437" s="59"/>
      <c r="D437" s="59"/>
      <c r="E437" s="59"/>
      <c r="F437" s="59"/>
      <c r="G437" s="59"/>
      <c r="H437" s="59"/>
      <c r="I437" s="59"/>
      <c r="J437" s="59"/>
      <c r="K437" s="59"/>
      <c r="L437" s="59"/>
    </row>
    <row r="438">
      <c r="A438" s="59"/>
      <c r="B438" s="59"/>
      <c r="C438" s="59"/>
      <c r="D438" s="59"/>
      <c r="E438" s="59"/>
      <c r="F438" s="59"/>
      <c r="G438" s="59"/>
      <c r="H438" s="59"/>
      <c r="I438" s="59"/>
      <c r="J438" s="59"/>
      <c r="K438" s="59"/>
      <c r="L438" s="59"/>
    </row>
    <row r="439">
      <c r="A439" s="59"/>
      <c r="B439" s="59"/>
      <c r="C439" s="59"/>
      <c r="D439" s="59"/>
      <c r="E439" s="59"/>
      <c r="F439" s="59"/>
      <c r="G439" s="59"/>
      <c r="H439" s="59"/>
      <c r="I439" s="59"/>
      <c r="J439" s="59"/>
      <c r="K439" s="59"/>
      <c r="L439" s="59"/>
    </row>
    <row r="440">
      <c r="A440" s="59"/>
      <c r="B440" s="59"/>
      <c r="C440" s="59"/>
      <c r="D440" s="59"/>
      <c r="E440" s="59"/>
      <c r="F440" s="59"/>
      <c r="G440" s="59"/>
      <c r="H440" s="59"/>
      <c r="I440" s="59"/>
      <c r="J440" s="59"/>
      <c r="K440" s="59"/>
      <c r="L440" s="59"/>
    </row>
    <row r="441">
      <c r="A441" s="59"/>
      <c r="B441" s="59"/>
      <c r="C441" s="59"/>
      <c r="D441" s="59"/>
      <c r="E441" s="59"/>
      <c r="F441" s="59"/>
      <c r="G441" s="59"/>
      <c r="H441" s="59"/>
      <c r="I441" s="59"/>
      <c r="J441" s="59"/>
      <c r="K441" s="59"/>
      <c r="L441" s="59"/>
    </row>
    <row r="442">
      <c r="A442" s="59"/>
      <c r="B442" s="59"/>
      <c r="C442" s="59"/>
      <c r="D442" s="59"/>
      <c r="E442" s="59"/>
      <c r="F442" s="59"/>
      <c r="G442" s="59"/>
      <c r="H442" s="59"/>
      <c r="I442" s="59"/>
      <c r="J442" s="59"/>
      <c r="K442" s="59"/>
      <c r="L442" s="59"/>
    </row>
    <row r="443">
      <c r="A443" s="59"/>
      <c r="B443" s="59"/>
      <c r="C443" s="59"/>
      <c r="D443" s="59"/>
      <c r="E443" s="59"/>
      <c r="F443" s="59"/>
      <c r="G443" s="59"/>
      <c r="H443" s="59"/>
      <c r="I443" s="59"/>
      <c r="J443" s="59"/>
      <c r="K443" s="59"/>
      <c r="L443" s="59"/>
    </row>
    <row r="444">
      <c r="A444" s="59"/>
      <c r="B444" s="59"/>
      <c r="C444" s="59"/>
      <c r="D444" s="59"/>
      <c r="E444" s="59"/>
      <c r="F444" s="59"/>
      <c r="G444" s="59"/>
      <c r="H444" s="59"/>
      <c r="I444" s="59"/>
      <c r="J444" s="59"/>
      <c r="K444" s="59"/>
      <c r="L444" s="59"/>
    </row>
    <row r="445">
      <c r="A445" s="59"/>
      <c r="B445" s="59"/>
      <c r="C445" s="59"/>
      <c r="D445" s="59"/>
      <c r="E445" s="59"/>
      <c r="F445" s="59"/>
      <c r="G445" s="59"/>
      <c r="H445" s="59"/>
      <c r="I445" s="59"/>
      <c r="J445" s="59"/>
      <c r="K445" s="59"/>
      <c r="L445" s="59"/>
    </row>
    <row r="446">
      <c r="A446" s="59"/>
      <c r="B446" s="59"/>
      <c r="C446" s="59"/>
      <c r="D446" s="59"/>
      <c r="E446" s="59"/>
      <c r="F446" s="59"/>
      <c r="G446" s="59"/>
      <c r="H446" s="59"/>
      <c r="I446" s="59"/>
      <c r="J446" s="59"/>
      <c r="K446" s="59"/>
      <c r="L446" s="59"/>
    </row>
    <row r="447">
      <c r="A447" s="59"/>
      <c r="B447" s="59"/>
      <c r="C447" s="59"/>
      <c r="D447" s="59"/>
      <c r="E447" s="59"/>
      <c r="F447" s="59"/>
      <c r="G447" s="59"/>
      <c r="H447" s="59"/>
      <c r="I447" s="59"/>
      <c r="J447" s="59"/>
      <c r="K447" s="59"/>
      <c r="L447" s="59"/>
    </row>
    <row r="448">
      <c r="A448" s="59"/>
      <c r="B448" s="59"/>
      <c r="C448" s="59"/>
      <c r="D448" s="59"/>
      <c r="E448" s="59"/>
      <c r="F448" s="59"/>
      <c r="G448" s="59"/>
      <c r="H448" s="59"/>
      <c r="I448" s="59"/>
      <c r="J448" s="59"/>
      <c r="K448" s="59"/>
      <c r="L448" s="59"/>
    </row>
    <row r="449">
      <c r="A449" s="59"/>
      <c r="B449" s="59"/>
      <c r="C449" s="59"/>
      <c r="D449" s="59"/>
      <c r="E449" s="59"/>
      <c r="F449" s="59"/>
      <c r="G449" s="59"/>
      <c r="H449" s="59"/>
      <c r="I449" s="59"/>
      <c r="J449" s="59"/>
      <c r="K449" s="59"/>
      <c r="L449" s="59"/>
    </row>
    <row r="450">
      <c r="A450" s="59"/>
      <c r="B450" s="59"/>
      <c r="C450" s="59"/>
      <c r="D450" s="59"/>
      <c r="E450" s="59"/>
      <c r="F450" s="59"/>
      <c r="G450" s="59"/>
      <c r="H450" s="59"/>
      <c r="I450" s="59"/>
      <c r="J450" s="59"/>
      <c r="K450" s="59"/>
      <c r="L450" s="59"/>
    </row>
    <row r="451">
      <c r="A451" s="59"/>
      <c r="B451" s="59"/>
      <c r="C451" s="59"/>
      <c r="D451" s="59"/>
      <c r="E451" s="59"/>
      <c r="F451" s="59"/>
      <c r="G451" s="59"/>
      <c r="H451" s="59"/>
      <c r="I451" s="59"/>
      <c r="J451" s="59"/>
      <c r="K451" s="59"/>
      <c r="L451" s="59"/>
    </row>
    <row r="452">
      <c r="A452" s="59"/>
      <c r="B452" s="59"/>
      <c r="C452" s="59"/>
      <c r="D452" s="59"/>
      <c r="E452" s="59"/>
      <c r="F452" s="59"/>
      <c r="G452" s="59"/>
      <c r="H452" s="59"/>
      <c r="I452" s="59"/>
      <c r="J452" s="59"/>
      <c r="K452" s="59"/>
      <c r="L452" s="59"/>
    </row>
    <row r="453">
      <c r="A453" s="59"/>
      <c r="B453" s="59"/>
      <c r="C453" s="59"/>
      <c r="D453" s="59"/>
      <c r="E453" s="59"/>
      <c r="F453" s="59"/>
      <c r="G453" s="59"/>
      <c r="H453" s="59"/>
      <c r="I453" s="59"/>
      <c r="J453" s="59"/>
      <c r="K453" s="59"/>
      <c r="L453" s="59"/>
    </row>
    <row r="454">
      <c r="A454" s="59"/>
      <c r="B454" s="59"/>
      <c r="C454" s="59"/>
      <c r="D454" s="59"/>
      <c r="E454" s="59"/>
      <c r="F454" s="59"/>
      <c r="G454" s="59"/>
      <c r="H454" s="59"/>
      <c r="I454" s="59"/>
      <c r="J454" s="59"/>
      <c r="K454" s="59"/>
      <c r="L454" s="59"/>
    </row>
    <row r="455">
      <c r="A455" s="59"/>
      <c r="B455" s="59"/>
      <c r="C455" s="59"/>
      <c r="D455" s="59"/>
      <c r="E455" s="59"/>
      <c r="F455" s="59"/>
      <c r="G455" s="59"/>
      <c r="H455" s="59"/>
      <c r="I455" s="59"/>
      <c r="J455" s="59"/>
      <c r="K455" s="59"/>
      <c r="L455" s="59"/>
    </row>
    <row r="456">
      <c r="A456" s="59"/>
      <c r="B456" s="59"/>
      <c r="C456" s="59"/>
      <c r="D456" s="59"/>
      <c r="E456" s="59"/>
      <c r="F456" s="59"/>
      <c r="G456" s="59"/>
      <c r="H456" s="59"/>
      <c r="I456" s="59"/>
      <c r="J456" s="59"/>
      <c r="K456" s="59"/>
      <c r="L456" s="59"/>
    </row>
    <row r="457">
      <c r="A457" s="59"/>
      <c r="B457" s="59"/>
      <c r="C457" s="59"/>
      <c r="D457" s="59"/>
      <c r="E457" s="59"/>
      <c r="F457" s="59"/>
      <c r="G457" s="59"/>
      <c r="H457" s="59"/>
      <c r="I457" s="59"/>
      <c r="J457" s="59"/>
      <c r="K457" s="59"/>
      <c r="L457" s="59"/>
    </row>
    <row r="458">
      <c r="A458" s="59"/>
      <c r="B458" s="59"/>
      <c r="C458" s="59"/>
      <c r="D458" s="59"/>
      <c r="E458" s="59"/>
      <c r="F458" s="59"/>
      <c r="G458" s="59"/>
      <c r="H458" s="59"/>
      <c r="I458" s="59"/>
      <c r="J458" s="59"/>
      <c r="K458" s="59"/>
      <c r="L458" s="59"/>
    </row>
    <row r="459">
      <c r="A459" s="59"/>
      <c r="B459" s="59"/>
      <c r="C459" s="59"/>
      <c r="D459" s="59"/>
      <c r="E459" s="59"/>
      <c r="F459" s="59"/>
      <c r="G459" s="59"/>
      <c r="H459" s="59"/>
      <c r="I459" s="59"/>
      <c r="J459" s="59"/>
      <c r="K459" s="59"/>
      <c r="L459" s="59"/>
    </row>
    <row r="460">
      <c r="A460" s="59"/>
      <c r="B460" s="59"/>
      <c r="C460" s="59"/>
      <c r="D460" s="59"/>
      <c r="E460" s="59"/>
      <c r="F460" s="59"/>
      <c r="G460" s="59"/>
      <c r="H460" s="59"/>
      <c r="I460" s="59"/>
      <c r="J460" s="59"/>
      <c r="K460" s="59"/>
      <c r="L460" s="59"/>
    </row>
    <row r="461">
      <c r="A461" s="59"/>
      <c r="B461" s="59"/>
      <c r="C461" s="59"/>
      <c r="D461" s="59"/>
      <c r="E461" s="59"/>
      <c r="F461" s="59"/>
      <c r="G461" s="59"/>
      <c r="H461" s="59"/>
      <c r="I461" s="59"/>
      <c r="J461" s="59"/>
      <c r="K461" s="59"/>
      <c r="L461" s="59"/>
    </row>
    <row r="462">
      <c r="A462" s="59"/>
      <c r="B462" s="59"/>
      <c r="C462" s="59"/>
      <c r="D462" s="59"/>
      <c r="E462" s="59"/>
      <c r="F462" s="59"/>
      <c r="G462" s="59"/>
      <c r="H462" s="59"/>
      <c r="I462" s="59"/>
      <c r="J462" s="59"/>
      <c r="K462" s="59"/>
      <c r="L462" s="59"/>
    </row>
    <row r="463">
      <c r="A463" s="59"/>
      <c r="B463" s="59"/>
      <c r="C463" s="59"/>
      <c r="D463" s="59"/>
      <c r="E463" s="59"/>
      <c r="F463" s="59"/>
      <c r="G463" s="59"/>
      <c r="H463" s="59"/>
      <c r="I463" s="59"/>
      <c r="J463" s="59"/>
      <c r="K463" s="59"/>
      <c r="L463" s="59"/>
    </row>
    <row r="464">
      <c r="A464" s="59"/>
      <c r="B464" s="59"/>
      <c r="C464" s="59"/>
      <c r="D464" s="59"/>
      <c r="E464" s="59"/>
      <c r="F464" s="59"/>
      <c r="G464" s="59"/>
      <c r="H464" s="59"/>
      <c r="I464" s="59"/>
      <c r="J464" s="59"/>
      <c r="K464" s="59"/>
      <c r="L464" s="59"/>
    </row>
    <row r="465">
      <c r="A465" s="59"/>
      <c r="B465" s="59"/>
      <c r="C465" s="59"/>
      <c r="D465" s="59"/>
      <c r="E465" s="59"/>
      <c r="F465" s="59"/>
      <c r="G465" s="59"/>
      <c r="H465" s="59"/>
      <c r="I465" s="59"/>
      <c r="J465" s="59"/>
      <c r="K465" s="59"/>
      <c r="L465" s="59"/>
    </row>
    <row r="466">
      <c r="A466" s="59"/>
      <c r="B466" s="59"/>
      <c r="C466" s="59"/>
      <c r="D466" s="59"/>
      <c r="E466" s="59"/>
      <c r="F466" s="59"/>
      <c r="G466" s="59"/>
      <c r="H466" s="59"/>
      <c r="I466" s="59"/>
      <c r="J466" s="59"/>
      <c r="K466" s="59"/>
      <c r="L466" s="59"/>
    </row>
    <row r="467">
      <c r="A467" s="59"/>
      <c r="B467" s="59"/>
      <c r="C467" s="59"/>
      <c r="D467" s="59"/>
      <c r="E467" s="59"/>
      <c r="F467" s="59"/>
      <c r="G467" s="59"/>
      <c r="H467" s="59"/>
      <c r="I467" s="59"/>
      <c r="J467" s="59"/>
      <c r="K467" s="59"/>
      <c r="L467" s="59"/>
    </row>
    <row r="468">
      <c r="A468" s="59"/>
      <c r="B468" s="59"/>
      <c r="C468" s="59"/>
      <c r="D468" s="59"/>
      <c r="E468" s="59"/>
      <c r="F468" s="59"/>
      <c r="G468" s="59"/>
      <c r="H468" s="59"/>
      <c r="I468" s="59"/>
      <c r="J468" s="59"/>
      <c r="K468" s="59"/>
      <c r="L468" s="59"/>
    </row>
    <row r="469">
      <c r="A469" s="59"/>
      <c r="B469" s="59"/>
      <c r="C469" s="59"/>
      <c r="D469" s="59"/>
      <c r="E469" s="59"/>
      <c r="F469" s="59"/>
      <c r="G469" s="59"/>
      <c r="H469" s="59"/>
      <c r="I469" s="59"/>
      <c r="J469" s="59"/>
      <c r="K469" s="59"/>
      <c r="L469" s="59"/>
    </row>
    <row r="470">
      <c r="A470" s="59"/>
      <c r="B470" s="59"/>
      <c r="C470" s="59"/>
      <c r="D470" s="59"/>
      <c r="E470" s="59"/>
      <c r="F470" s="59"/>
      <c r="G470" s="59"/>
      <c r="H470" s="59"/>
      <c r="I470" s="59"/>
      <c r="J470" s="59"/>
      <c r="K470" s="59"/>
      <c r="L470" s="59"/>
    </row>
    <row r="471">
      <c r="A471" s="59"/>
      <c r="B471" s="59"/>
      <c r="C471" s="59"/>
      <c r="D471" s="59"/>
      <c r="E471" s="59"/>
      <c r="F471" s="59"/>
      <c r="G471" s="59"/>
      <c r="H471" s="59"/>
      <c r="I471" s="59"/>
      <c r="J471" s="59"/>
      <c r="K471" s="59"/>
      <c r="L471" s="59"/>
    </row>
    <row r="472">
      <c r="A472" s="59"/>
      <c r="B472" s="59"/>
      <c r="C472" s="59"/>
      <c r="D472" s="59"/>
      <c r="E472" s="59"/>
      <c r="F472" s="59"/>
      <c r="G472" s="59"/>
      <c r="H472" s="59"/>
      <c r="I472" s="59"/>
      <c r="J472" s="59"/>
      <c r="K472" s="59"/>
      <c r="L472" s="59"/>
    </row>
    <row r="473">
      <c r="A473" s="59"/>
      <c r="B473" s="59"/>
      <c r="C473" s="59"/>
      <c r="D473" s="59"/>
      <c r="E473" s="59"/>
      <c r="F473" s="59"/>
      <c r="G473" s="59"/>
      <c r="H473" s="59"/>
      <c r="I473" s="59"/>
      <c r="J473" s="59"/>
      <c r="K473" s="59"/>
      <c r="L473" s="59"/>
    </row>
    <row r="474">
      <c r="A474" s="59"/>
      <c r="B474" s="59"/>
      <c r="C474" s="59"/>
      <c r="D474" s="59"/>
      <c r="E474" s="59"/>
      <c r="F474" s="59"/>
      <c r="G474" s="59"/>
      <c r="H474" s="59"/>
      <c r="I474" s="59"/>
      <c r="J474" s="59"/>
      <c r="K474" s="59"/>
      <c r="L474" s="59"/>
    </row>
    <row r="475">
      <c r="A475" s="59"/>
      <c r="B475" s="59"/>
      <c r="C475" s="59"/>
      <c r="D475" s="59"/>
      <c r="E475" s="59"/>
      <c r="F475" s="59"/>
      <c r="G475" s="59"/>
      <c r="H475" s="59"/>
      <c r="I475" s="59"/>
      <c r="J475" s="59"/>
      <c r="K475" s="59"/>
      <c r="L475" s="59"/>
    </row>
    <row r="476">
      <c r="A476" s="59"/>
      <c r="B476" s="59"/>
      <c r="C476" s="59"/>
      <c r="D476" s="59"/>
      <c r="E476" s="59"/>
      <c r="F476" s="59"/>
      <c r="G476" s="59"/>
      <c r="H476" s="59"/>
      <c r="I476" s="59"/>
      <c r="J476" s="59"/>
      <c r="K476" s="59"/>
      <c r="L476" s="59"/>
    </row>
    <row r="477">
      <c r="A477" s="59"/>
      <c r="B477" s="59"/>
      <c r="C477" s="59"/>
      <c r="D477" s="59"/>
      <c r="E477" s="59"/>
      <c r="F477" s="59"/>
      <c r="G477" s="59"/>
      <c r="H477" s="59"/>
      <c r="I477" s="59"/>
      <c r="J477" s="59"/>
      <c r="K477" s="59"/>
      <c r="L477" s="59"/>
    </row>
    <row r="478">
      <c r="A478" s="59"/>
      <c r="B478" s="59"/>
      <c r="C478" s="59"/>
      <c r="D478" s="59"/>
      <c r="E478" s="59"/>
      <c r="F478" s="59"/>
      <c r="G478" s="59"/>
      <c r="H478" s="59"/>
      <c r="I478" s="59"/>
      <c r="J478" s="59"/>
      <c r="K478" s="59"/>
      <c r="L478" s="59"/>
    </row>
    <row r="479">
      <c r="A479" s="59"/>
      <c r="B479" s="59"/>
      <c r="C479" s="59"/>
      <c r="D479" s="59"/>
      <c r="E479" s="59"/>
      <c r="F479" s="59"/>
      <c r="G479" s="59"/>
      <c r="H479" s="59"/>
      <c r="I479" s="59"/>
      <c r="J479" s="59"/>
      <c r="K479" s="59"/>
      <c r="L479" s="59"/>
    </row>
    <row r="480">
      <c r="A480" s="59"/>
      <c r="B480" s="59"/>
      <c r="C480" s="59"/>
      <c r="D480" s="59"/>
      <c r="E480" s="59"/>
      <c r="F480" s="59"/>
      <c r="G480" s="59"/>
      <c r="H480" s="59"/>
      <c r="I480" s="59"/>
      <c r="J480" s="59"/>
      <c r="K480" s="59"/>
      <c r="L480" s="59"/>
    </row>
    <row r="481">
      <c r="A481" s="59"/>
      <c r="B481" s="59"/>
      <c r="C481" s="59"/>
      <c r="D481" s="59"/>
      <c r="E481" s="59"/>
      <c r="F481" s="59"/>
      <c r="G481" s="59"/>
      <c r="H481" s="59"/>
      <c r="I481" s="59"/>
      <c r="J481" s="59"/>
      <c r="K481" s="59"/>
      <c r="L481" s="59"/>
    </row>
    <row r="482">
      <c r="A482" s="59"/>
      <c r="B482" s="59"/>
      <c r="C482" s="59"/>
      <c r="D482" s="59"/>
      <c r="E482" s="59"/>
      <c r="F482" s="59"/>
      <c r="G482" s="59"/>
      <c r="H482" s="59"/>
      <c r="I482" s="59"/>
      <c r="J482" s="59"/>
      <c r="K482" s="59"/>
      <c r="L482" s="59"/>
    </row>
    <row r="483">
      <c r="A483" s="59"/>
      <c r="B483" s="59"/>
      <c r="C483" s="59"/>
      <c r="D483" s="59"/>
      <c r="E483" s="59"/>
      <c r="F483" s="59"/>
      <c r="G483" s="59"/>
      <c r="H483" s="59"/>
      <c r="I483" s="59"/>
      <c r="J483" s="59"/>
      <c r="K483" s="59"/>
      <c r="L483" s="59"/>
    </row>
    <row r="484">
      <c r="A484" s="59"/>
      <c r="B484" s="59"/>
      <c r="C484" s="59"/>
      <c r="D484" s="59"/>
      <c r="E484" s="59"/>
      <c r="F484" s="59"/>
      <c r="G484" s="59"/>
      <c r="H484" s="59"/>
      <c r="I484" s="59"/>
      <c r="J484" s="59"/>
      <c r="K484" s="59"/>
      <c r="L484" s="59"/>
    </row>
    <row r="485">
      <c r="A485" s="59"/>
      <c r="B485" s="59"/>
      <c r="C485" s="59"/>
      <c r="D485" s="59"/>
      <c r="E485" s="59"/>
      <c r="F485" s="59"/>
      <c r="G485" s="59"/>
      <c r="H485" s="59"/>
      <c r="I485" s="59"/>
      <c r="J485" s="59"/>
      <c r="K485" s="59"/>
      <c r="L485" s="59"/>
    </row>
    <row r="486">
      <c r="A486" s="59"/>
      <c r="B486" s="59"/>
      <c r="C486" s="59"/>
      <c r="D486" s="59"/>
      <c r="E486" s="59"/>
      <c r="F486" s="59"/>
      <c r="G486" s="59"/>
      <c r="H486" s="59"/>
      <c r="I486" s="59"/>
      <c r="J486" s="59"/>
      <c r="K486" s="59"/>
      <c r="L486" s="59"/>
    </row>
    <row r="487">
      <c r="A487" s="59"/>
      <c r="B487" s="59"/>
      <c r="C487" s="59"/>
      <c r="D487" s="59"/>
      <c r="E487" s="59"/>
      <c r="F487" s="59"/>
      <c r="G487" s="59"/>
      <c r="H487" s="59"/>
      <c r="I487" s="59"/>
      <c r="J487" s="59"/>
      <c r="K487" s="59"/>
      <c r="L487" s="59"/>
    </row>
    <row r="488">
      <c r="A488" s="59"/>
      <c r="B488" s="59"/>
      <c r="C488" s="59"/>
      <c r="D488" s="59"/>
      <c r="E488" s="59"/>
      <c r="F488" s="59"/>
      <c r="G488" s="59"/>
      <c r="H488" s="59"/>
      <c r="I488" s="59"/>
      <c r="J488" s="59"/>
      <c r="K488" s="59"/>
      <c r="L488" s="59"/>
    </row>
    <row r="489">
      <c r="A489" s="59"/>
      <c r="B489" s="59"/>
      <c r="C489" s="59"/>
      <c r="D489" s="59"/>
      <c r="E489" s="59"/>
      <c r="F489" s="59"/>
      <c r="G489" s="59"/>
      <c r="H489" s="59"/>
      <c r="I489" s="59"/>
      <c r="J489" s="59"/>
      <c r="K489" s="59"/>
      <c r="L489" s="59"/>
    </row>
    <row r="490">
      <c r="A490" s="59"/>
      <c r="B490" s="59"/>
      <c r="C490" s="59"/>
      <c r="D490" s="59"/>
      <c r="E490" s="59"/>
      <c r="F490" s="59"/>
      <c r="G490" s="59"/>
      <c r="H490" s="59"/>
      <c r="I490" s="59"/>
      <c r="J490" s="59"/>
      <c r="K490" s="59"/>
      <c r="L490" s="59"/>
    </row>
    <row r="491">
      <c r="A491" s="59"/>
      <c r="B491" s="59"/>
      <c r="C491" s="59"/>
      <c r="D491" s="59"/>
      <c r="E491" s="59"/>
      <c r="F491" s="59"/>
      <c r="G491" s="59"/>
      <c r="H491" s="59"/>
      <c r="I491" s="59"/>
      <c r="J491" s="59"/>
      <c r="K491" s="59"/>
      <c r="L491" s="59"/>
    </row>
    <row r="492">
      <c r="A492" s="59"/>
      <c r="B492" s="59"/>
      <c r="C492" s="59"/>
      <c r="D492" s="59"/>
      <c r="E492" s="59"/>
      <c r="F492" s="59"/>
      <c r="G492" s="59"/>
      <c r="H492" s="59"/>
      <c r="I492" s="59"/>
      <c r="J492" s="59"/>
      <c r="K492" s="59"/>
      <c r="L492" s="59"/>
    </row>
    <row r="493">
      <c r="A493" s="59"/>
      <c r="B493" s="59"/>
      <c r="C493" s="59"/>
      <c r="D493" s="59"/>
      <c r="E493" s="59"/>
      <c r="F493" s="59"/>
      <c r="G493" s="59"/>
      <c r="H493" s="59"/>
      <c r="I493" s="59"/>
      <c r="J493" s="59"/>
      <c r="K493" s="59"/>
      <c r="L493" s="59"/>
    </row>
    <row r="494">
      <c r="A494" s="59"/>
      <c r="B494" s="59"/>
      <c r="C494" s="59"/>
      <c r="D494" s="59"/>
      <c r="E494" s="59"/>
      <c r="F494" s="59"/>
      <c r="G494" s="59"/>
      <c r="H494" s="59"/>
      <c r="I494" s="59"/>
      <c r="J494" s="59"/>
      <c r="K494" s="59"/>
      <c r="L494" s="59"/>
    </row>
    <row r="495">
      <c r="A495" s="59"/>
      <c r="B495" s="59"/>
      <c r="C495" s="59"/>
      <c r="D495" s="59"/>
      <c r="E495" s="59"/>
      <c r="F495" s="59"/>
      <c r="G495" s="59"/>
      <c r="H495" s="59"/>
      <c r="I495" s="59"/>
      <c r="J495" s="59"/>
      <c r="K495" s="59"/>
      <c r="L495" s="59"/>
    </row>
    <row r="496">
      <c r="A496" s="59"/>
      <c r="B496" s="59"/>
      <c r="C496" s="59"/>
      <c r="D496" s="59"/>
      <c r="E496" s="59"/>
      <c r="F496" s="59"/>
      <c r="G496" s="59"/>
      <c r="H496" s="59"/>
      <c r="I496" s="59"/>
      <c r="J496" s="59"/>
      <c r="K496" s="59"/>
      <c r="L496" s="59"/>
    </row>
    <row r="497">
      <c r="A497" s="59"/>
      <c r="B497" s="59"/>
      <c r="C497" s="59"/>
      <c r="D497" s="59"/>
      <c r="E497" s="59"/>
      <c r="F497" s="59"/>
      <c r="G497" s="59"/>
      <c r="H497" s="59"/>
      <c r="I497" s="59"/>
      <c r="J497" s="59"/>
      <c r="K497" s="59"/>
      <c r="L497" s="59"/>
    </row>
    <row r="498">
      <c r="A498" s="59"/>
      <c r="B498" s="59"/>
      <c r="C498" s="59"/>
      <c r="D498" s="59"/>
      <c r="E498" s="59"/>
      <c r="F498" s="59"/>
      <c r="G498" s="59"/>
      <c r="H498" s="59"/>
      <c r="I498" s="59"/>
      <c r="J498" s="59"/>
      <c r="K498" s="59"/>
      <c r="L498" s="59"/>
    </row>
    <row r="499">
      <c r="A499" s="59"/>
      <c r="B499" s="59"/>
      <c r="C499" s="59"/>
      <c r="D499" s="59"/>
      <c r="E499" s="59"/>
      <c r="F499" s="59"/>
      <c r="G499" s="59"/>
      <c r="H499" s="59"/>
      <c r="I499" s="59"/>
      <c r="J499" s="59"/>
      <c r="K499" s="59"/>
      <c r="L499" s="59"/>
    </row>
    <row r="500">
      <c r="A500" s="59"/>
      <c r="B500" s="59"/>
      <c r="C500" s="59"/>
      <c r="D500" s="59"/>
      <c r="E500" s="59"/>
      <c r="F500" s="59"/>
      <c r="G500" s="59"/>
      <c r="H500" s="59"/>
      <c r="I500" s="59"/>
      <c r="J500" s="59"/>
      <c r="K500" s="59"/>
      <c r="L500" s="59"/>
    </row>
    <row r="501">
      <c r="A501" s="59"/>
      <c r="B501" s="59"/>
      <c r="C501" s="59"/>
      <c r="D501" s="59"/>
      <c r="E501" s="59"/>
      <c r="F501" s="59"/>
      <c r="G501" s="59"/>
      <c r="H501" s="59"/>
      <c r="I501" s="59"/>
      <c r="J501" s="59"/>
      <c r="K501" s="59"/>
      <c r="L501" s="59"/>
    </row>
    <row r="502">
      <c r="A502" s="59"/>
      <c r="B502" s="59"/>
      <c r="C502" s="59"/>
      <c r="D502" s="59"/>
      <c r="E502" s="59"/>
      <c r="F502" s="59"/>
      <c r="G502" s="59"/>
      <c r="H502" s="59"/>
      <c r="I502" s="59"/>
      <c r="J502" s="59"/>
      <c r="K502" s="59"/>
      <c r="L502" s="59"/>
    </row>
    <row r="503">
      <c r="A503" s="59"/>
      <c r="B503" s="59"/>
      <c r="C503" s="59"/>
      <c r="D503" s="59"/>
      <c r="E503" s="59"/>
      <c r="F503" s="59"/>
      <c r="G503" s="59"/>
      <c r="H503" s="59"/>
      <c r="I503" s="59"/>
      <c r="J503" s="59"/>
      <c r="K503" s="59"/>
      <c r="L503" s="59"/>
    </row>
    <row r="504">
      <c r="A504" s="59"/>
      <c r="B504" s="59"/>
      <c r="C504" s="59"/>
      <c r="D504" s="59"/>
      <c r="E504" s="59"/>
      <c r="F504" s="59"/>
      <c r="G504" s="59"/>
      <c r="H504" s="59"/>
      <c r="I504" s="59"/>
      <c r="J504" s="59"/>
      <c r="K504" s="59"/>
      <c r="L504" s="59"/>
    </row>
    <row r="505">
      <c r="A505" s="59"/>
      <c r="B505" s="59"/>
      <c r="C505" s="59"/>
      <c r="D505" s="59"/>
      <c r="E505" s="59"/>
      <c r="F505" s="59"/>
      <c r="G505" s="59"/>
      <c r="H505" s="59"/>
      <c r="I505" s="59"/>
      <c r="J505" s="59"/>
      <c r="K505" s="59"/>
      <c r="L505" s="59"/>
    </row>
    <row r="506">
      <c r="A506" s="59"/>
      <c r="B506" s="59"/>
      <c r="C506" s="59"/>
      <c r="D506" s="59"/>
      <c r="E506" s="59"/>
      <c r="F506" s="59"/>
      <c r="G506" s="59"/>
      <c r="H506" s="59"/>
      <c r="I506" s="59"/>
      <c r="J506" s="59"/>
      <c r="K506" s="59"/>
      <c r="L506" s="59"/>
    </row>
    <row r="507">
      <c r="A507" s="59"/>
      <c r="B507" s="59"/>
      <c r="C507" s="59"/>
      <c r="D507" s="59"/>
      <c r="E507" s="59"/>
      <c r="F507" s="59"/>
      <c r="G507" s="59"/>
      <c r="H507" s="59"/>
      <c r="I507" s="59"/>
      <c r="J507" s="59"/>
      <c r="K507" s="59"/>
      <c r="L507" s="59"/>
    </row>
    <row r="508">
      <c r="A508" s="59"/>
      <c r="B508" s="59"/>
      <c r="C508" s="59"/>
      <c r="D508" s="59"/>
      <c r="E508" s="59"/>
      <c r="F508" s="59"/>
      <c r="G508" s="59"/>
      <c r="H508" s="59"/>
      <c r="I508" s="59"/>
      <c r="J508" s="59"/>
      <c r="K508" s="59"/>
      <c r="L508" s="59"/>
    </row>
    <row r="509">
      <c r="A509" s="59"/>
      <c r="B509" s="59"/>
      <c r="C509" s="59"/>
      <c r="D509" s="59"/>
      <c r="E509" s="59"/>
      <c r="F509" s="59"/>
      <c r="G509" s="59"/>
      <c r="H509" s="59"/>
      <c r="I509" s="59"/>
      <c r="J509" s="59"/>
      <c r="K509" s="59"/>
      <c r="L509" s="59"/>
    </row>
    <row r="510">
      <c r="A510" s="59"/>
      <c r="B510" s="59"/>
      <c r="C510" s="59"/>
      <c r="D510" s="59"/>
      <c r="E510" s="59"/>
      <c r="F510" s="59"/>
      <c r="G510" s="59"/>
      <c r="H510" s="59"/>
      <c r="I510" s="59"/>
      <c r="J510" s="59"/>
      <c r="K510" s="59"/>
      <c r="L510" s="59"/>
    </row>
    <row r="511">
      <c r="A511" s="59"/>
      <c r="B511" s="59"/>
      <c r="C511" s="59"/>
      <c r="D511" s="59"/>
      <c r="E511" s="59"/>
      <c r="F511" s="59"/>
      <c r="G511" s="59"/>
      <c r="H511" s="59"/>
      <c r="I511" s="59"/>
      <c r="J511" s="59"/>
      <c r="K511" s="59"/>
      <c r="L511" s="59"/>
    </row>
    <row r="512">
      <c r="A512" s="59"/>
      <c r="B512" s="59"/>
      <c r="C512" s="59"/>
      <c r="D512" s="59"/>
      <c r="E512" s="59"/>
      <c r="F512" s="59"/>
      <c r="G512" s="59"/>
      <c r="H512" s="59"/>
      <c r="I512" s="59"/>
      <c r="J512" s="59"/>
      <c r="K512" s="59"/>
      <c r="L512" s="59"/>
    </row>
    <row r="513">
      <c r="A513" s="59"/>
      <c r="B513" s="59"/>
      <c r="C513" s="59"/>
      <c r="D513" s="59"/>
      <c r="E513" s="59"/>
      <c r="F513" s="59"/>
      <c r="G513" s="59"/>
      <c r="H513" s="59"/>
      <c r="I513" s="59"/>
      <c r="J513" s="59"/>
      <c r="K513" s="59"/>
      <c r="L513" s="59"/>
    </row>
    <row r="514">
      <c r="A514" s="59"/>
      <c r="B514" s="59"/>
      <c r="C514" s="59"/>
      <c r="D514" s="59"/>
      <c r="E514" s="59"/>
      <c r="F514" s="59"/>
      <c r="G514" s="59"/>
      <c r="H514" s="59"/>
      <c r="I514" s="59"/>
      <c r="J514" s="59"/>
      <c r="K514" s="59"/>
      <c r="L514" s="59"/>
    </row>
    <row r="515">
      <c r="A515" s="59"/>
      <c r="B515" s="59"/>
      <c r="C515" s="59"/>
      <c r="D515" s="59"/>
      <c r="E515" s="59"/>
      <c r="F515" s="59"/>
      <c r="G515" s="59"/>
      <c r="H515" s="59"/>
      <c r="I515" s="59"/>
      <c r="J515" s="59"/>
      <c r="K515" s="59"/>
      <c r="L515" s="59"/>
    </row>
    <row r="516">
      <c r="A516" s="59"/>
      <c r="B516" s="59"/>
      <c r="C516" s="59"/>
      <c r="D516" s="59"/>
      <c r="E516" s="59"/>
      <c r="F516" s="59"/>
      <c r="G516" s="59"/>
      <c r="H516" s="59"/>
      <c r="I516" s="59"/>
      <c r="J516" s="59"/>
      <c r="K516" s="59"/>
      <c r="L516" s="59"/>
    </row>
    <row r="517">
      <c r="A517" s="59"/>
      <c r="B517" s="59"/>
      <c r="C517" s="59"/>
      <c r="D517" s="59"/>
      <c r="E517" s="59"/>
      <c r="F517" s="59"/>
      <c r="G517" s="59"/>
      <c r="H517" s="59"/>
      <c r="I517" s="59"/>
      <c r="J517" s="59"/>
      <c r="K517" s="59"/>
      <c r="L517" s="59"/>
    </row>
    <row r="518">
      <c r="A518" s="59"/>
      <c r="B518" s="59"/>
      <c r="C518" s="59"/>
      <c r="D518" s="59"/>
      <c r="E518" s="59"/>
      <c r="F518" s="59"/>
      <c r="G518" s="59"/>
      <c r="H518" s="59"/>
      <c r="I518" s="59"/>
      <c r="J518" s="59"/>
      <c r="K518" s="59"/>
      <c r="L518" s="59"/>
    </row>
    <row r="519">
      <c r="A519" s="59"/>
      <c r="B519" s="59"/>
      <c r="C519" s="59"/>
      <c r="D519" s="59"/>
      <c r="E519" s="59"/>
      <c r="F519" s="59"/>
      <c r="G519" s="59"/>
      <c r="H519" s="59"/>
      <c r="I519" s="59"/>
      <c r="J519" s="59"/>
      <c r="K519" s="59"/>
      <c r="L519" s="59"/>
    </row>
    <row r="520">
      <c r="A520" s="59"/>
      <c r="B520" s="59"/>
      <c r="C520" s="59"/>
      <c r="D520" s="59"/>
      <c r="E520" s="59"/>
      <c r="F520" s="59"/>
      <c r="G520" s="59"/>
      <c r="H520" s="59"/>
      <c r="I520" s="59"/>
      <c r="J520" s="59"/>
      <c r="K520" s="59"/>
      <c r="L520" s="59"/>
    </row>
    <row r="521">
      <c r="A521" s="59"/>
      <c r="B521" s="59"/>
      <c r="C521" s="59"/>
      <c r="D521" s="59"/>
      <c r="E521" s="59"/>
      <c r="F521" s="59"/>
      <c r="G521" s="59"/>
      <c r="H521" s="59"/>
      <c r="I521" s="59"/>
      <c r="J521" s="59"/>
      <c r="K521" s="59"/>
      <c r="L521" s="59"/>
    </row>
    <row r="522">
      <c r="A522" s="59"/>
      <c r="B522" s="59"/>
      <c r="C522" s="59"/>
      <c r="D522" s="59"/>
      <c r="E522" s="59"/>
      <c r="F522" s="59"/>
      <c r="G522" s="59"/>
      <c r="H522" s="59"/>
      <c r="I522" s="59"/>
      <c r="J522" s="59"/>
      <c r="K522" s="59"/>
      <c r="L522" s="59"/>
    </row>
    <row r="523">
      <c r="A523" s="59"/>
      <c r="B523" s="59"/>
      <c r="C523" s="59"/>
      <c r="D523" s="59"/>
      <c r="E523" s="59"/>
      <c r="F523" s="59"/>
      <c r="G523" s="59"/>
      <c r="H523" s="59"/>
      <c r="I523" s="59"/>
      <c r="J523" s="59"/>
      <c r="K523" s="59"/>
      <c r="L523" s="59"/>
    </row>
    <row r="524">
      <c r="A524" s="59"/>
      <c r="B524" s="59"/>
      <c r="C524" s="59"/>
      <c r="D524" s="59"/>
      <c r="E524" s="59"/>
      <c r="F524" s="59"/>
      <c r="G524" s="59"/>
      <c r="H524" s="59"/>
      <c r="I524" s="59"/>
      <c r="J524" s="59"/>
      <c r="K524" s="59"/>
      <c r="L524" s="59"/>
    </row>
    <row r="525">
      <c r="A525" s="59"/>
      <c r="B525" s="59"/>
      <c r="C525" s="59"/>
      <c r="D525" s="59"/>
      <c r="E525" s="59"/>
      <c r="F525" s="59"/>
      <c r="G525" s="59"/>
      <c r="H525" s="59"/>
      <c r="I525" s="59"/>
      <c r="J525" s="59"/>
      <c r="K525" s="59"/>
      <c r="L525" s="59"/>
    </row>
    <row r="526">
      <c r="A526" s="59"/>
      <c r="B526" s="59"/>
      <c r="C526" s="59"/>
      <c r="D526" s="59"/>
      <c r="E526" s="59"/>
      <c r="F526" s="59"/>
      <c r="G526" s="59"/>
      <c r="H526" s="59"/>
      <c r="I526" s="59"/>
      <c r="J526" s="59"/>
      <c r="K526" s="59"/>
      <c r="L526" s="59"/>
    </row>
    <row r="527">
      <c r="A527" s="59"/>
      <c r="B527" s="59"/>
      <c r="C527" s="59"/>
      <c r="D527" s="59"/>
      <c r="E527" s="59"/>
      <c r="F527" s="59"/>
      <c r="G527" s="59"/>
      <c r="H527" s="59"/>
      <c r="I527" s="59"/>
      <c r="J527" s="59"/>
      <c r="K527" s="59"/>
      <c r="L527" s="59"/>
    </row>
    <row r="528">
      <c r="A528" s="59"/>
      <c r="B528" s="59"/>
      <c r="C528" s="59"/>
      <c r="D528" s="59"/>
      <c r="E528" s="59"/>
      <c r="F528" s="59"/>
      <c r="G528" s="59"/>
      <c r="H528" s="59"/>
      <c r="I528" s="59"/>
      <c r="J528" s="59"/>
      <c r="K528" s="59"/>
      <c r="L528" s="59"/>
    </row>
    <row r="529">
      <c r="A529" s="59"/>
      <c r="B529" s="59"/>
      <c r="C529" s="59"/>
      <c r="D529" s="59"/>
      <c r="E529" s="59"/>
      <c r="F529" s="59"/>
      <c r="G529" s="59"/>
      <c r="H529" s="59"/>
      <c r="I529" s="59"/>
      <c r="J529" s="59"/>
      <c r="K529" s="59"/>
      <c r="L529" s="59"/>
    </row>
    <row r="530">
      <c r="A530" s="59"/>
      <c r="B530" s="59"/>
      <c r="C530" s="59"/>
      <c r="D530" s="59"/>
      <c r="E530" s="59"/>
      <c r="F530" s="59"/>
      <c r="G530" s="59"/>
      <c r="H530" s="59"/>
      <c r="I530" s="59"/>
      <c r="J530" s="59"/>
      <c r="K530" s="59"/>
      <c r="L530" s="59"/>
    </row>
    <row r="531">
      <c r="A531" s="59"/>
      <c r="B531" s="59"/>
      <c r="C531" s="59"/>
      <c r="D531" s="59"/>
      <c r="E531" s="59"/>
      <c r="F531" s="59"/>
      <c r="G531" s="59"/>
      <c r="H531" s="59"/>
      <c r="I531" s="59"/>
      <c r="J531" s="59"/>
      <c r="K531" s="59"/>
      <c r="L531" s="59"/>
    </row>
    <row r="532">
      <c r="A532" s="59"/>
      <c r="B532" s="59"/>
      <c r="C532" s="59"/>
      <c r="D532" s="59"/>
      <c r="E532" s="59"/>
      <c r="F532" s="59"/>
      <c r="G532" s="59"/>
      <c r="H532" s="59"/>
      <c r="I532" s="59"/>
      <c r="J532" s="59"/>
      <c r="K532" s="59"/>
      <c r="L532" s="59"/>
    </row>
    <row r="533">
      <c r="A533" s="59"/>
      <c r="B533" s="59"/>
      <c r="C533" s="59"/>
      <c r="D533" s="59"/>
      <c r="E533" s="59"/>
      <c r="F533" s="59"/>
      <c r="G533" s="59"/>
      <c r="H533" s="59"/>
      <c r="I533" s="59"/>
      <c r="J533" s="59"/>
      <c r="K533" s="59"/>
      <c r="L533" s="59"/>
    </row>
    <row r="534">
      <c r="A534" s="59"/>
      <c r="B534" s="59"/>
      <c r="C534" s="59"/>
      <c r="D534" s="59"/>
      <c r="E534" s="59"/>
      <c r="F534" s="59"/>
      <c r="G534" s="59"/>
      <c r="H534" s="59"/>
      <c r="I534" s="59"/>
      <c r="J534" s="59"/>
      <c r="K534" s="59"/>
      <c r="L534" s="59"/>
    </row>
    <row r="535">
      <c r="A535" s="59"/>
      <c r="B535" s="59"/>
      <c r="C535" s="59"/>
      <c r="D535" s="59"/>
      <c r="E535" s="59"/>
      <c r="F535" s="59"/>
      <c r="G535" s="59"/>
      <c r="H535" s="59"/>
      <c r="I535" s="59"/>
      <c r="J535" s="59"/>
      <c r="K535" s="59"/>
      <c r="L535" s="59"/>
    </row>
    <row r="536">
      <c r="A536" s="59"/>
      <c r="B536" s="59"/>
      <c r="C536" s="59"/>
      <c r="D536" s="59"/>
      <c r="E536" s="59"/>
      <c r="F536" s="59"/>
      <c r="G536" s="59"/>
      <c r="H536" s="59"/>
      <c r="I536" s="59"/>
      <c r="J536" s="59"/>
      <c r="K536" s="59"/>
      <c r="L536" s="59"/>
    </row>
    <row r="537">
      <c r="A537" s="59"/>
      <c r="B537" s="59"/>
      <c r="C537" s="59"/>
      <c r="D537" s="59"/>
      <c r="E537" s="59"/>
      <c r="F537" s="59"/>
      <c r="G537" s="59"/>
      <c r="H537" s="59"/>
      <c r="I537" s="59"/>
      <c r="J537" s="59"/>
      <c r="K537" s="59"/>
      <c r="L537" s="59"/>
    </row>
    <row r="538">
      <c r="A538" s="59"/>
      <c r="B538" s="59"/>
      <c r="C538" s="59"/>
      <c r="D538" s="59"/>
      <c r="E538" s="59"/>
      <c r="F538" s="59"/>
      <c r="G538" s="59"/>
      <c r="H538" s="59"/>
      <c r="I538" s="59"/>
      <c r="J538" s="59"/>
      <c r="K538" s="59"/>
      <c r="L538" s="59"/>
    </row>
    <row r="539">
      <c r="A539" s="59"/>
      <c r="B539" s="59"/>
      <c r="C539" s="59"/>
      <c r="D539" s="59"/>
      <c r="E539" s="59"/>
      <c r="F539" s="59"/>
      <c r="G539" s="59"/>
      <c r="H539" s="59"/>
      <c r="I539" s="59"/>
      <c r="J539" s="59"/>
      <c r="K539" s="59"/>
      <c r="L539" s="59"/>
    </row>
    <row r="540">
      <c r="A540" s="59"/>
      <c r="B540" s="59"/>
      <c r="C540" s="59"/>
      <c r="D540" s="59"/>
      <c r="E540" s="59"/>
      <c r="F540" s="59"/>
      <c r="G540" s="59"/>
      <c r="H540" s="59"/>
      <c r="I540" s="59"/>
      <c r="J540" s="59"/>
      <c r="K540" s="59"/>
      <c r="L540" s="59"/>
    </row>
    <row r="541">
      <c r="A541" s="59"/>
      <c r="B541" s="59"/>
      <c r="C541" s="59"/>
      <c r="D541" s="59"/>
      <c r="E541" s="59"/>
      <c r="F541" s="59"/>
      <c r="G541" s="59"/>
      <c r="H541" s="59"/>
      <c r="I541" s="59"/>
      <c r="J541" s="59"/>
      <c r="K541" s="59"/>
      <c r="L541" s="59"/>
    </row>
    <row r="542">
      <c r="A542" s="59"/>
      <c r="B542" s="59"/>
      <c r="C542" s="59"/>
      <c r="D542" s="59"/>
      <c r="E542" s="59"/>
      <c r="F542" s="59"/>
      <c r="G542" s="59"/>
      <c r="H542" s="59"/>
      <c r="I542" s="59"/>
      <c r="J542" s="59"/>
      <c r="K542" s="59"/>
      <c r="L542" s="59"/>
    </row>
    <row r="543">
      <c r="A543" s="59"/>
      <c r="B543" s="59"/>
      <c r="C543" s="59"/>
      <c r="D543" s="59"/>
      <c r="E543" s="59"/>
      <c r="F543" s="59"/>
      <c r="G543" s="59"/>
      <c r="H543" s="59"/>
      <c r="I543" s="59"/>
      <c r="J543" s="59"/>
      <c r="K543" s="59"/>
      <c r="L543" s="59"/>
    </row>
    <row r="544">
      <c r="A544" s="59"/>
      <c r="B544" s="59"/>
      <c r="C544" s="59"/>
      <c r="D544" s="59"/>
      <c r="E544" s="59"/>
      <c r="F544" s="59"/>
      <c r="G544" s="59"/>
      <c r="H544" s="59"/>
      <c r="I544" s="59"/>
      <c r="J544" s="59"/>
      <c r="K544" s="59"/>
      <c r="L544" s="59"/>
    </row>
    <row r="545">
      <c r="A545" s="59"/>
      <c r="B545" s="59"/>
      <c r="C545" s="59"/>
      <c r="D545" s="59"/>
      <c r="E545" s="59"/>
      <c r="F545" s="59"/>
      <c r="G545" s="59"/>
      <c r="H545" s="59"/>
      <c r="I545" s="59"/>
      <c r="J545" s="59"/>
      <c r="K545" s="59"/>
      <c r="L545" s="59"/>
    </row>
    <row r="546">
      <c r="A546" s="59"/>
      <c r="B546" s="59"/>
      <c r="C546" s="59"/>
      <c r="D546" s="59"/>
      <c r="E546" s="59"/>
      <c r="F546" s="59"/>
      <c r="G546" s="59"/>
      <c r="H546" s="59"/>
      <c r="I546" s="59"/>
      <c r="J546" s="59"/>
      <c r="K546" s="59"/>
      <c r="L546" s="59"/>
    </row>
    <row r="547">
      <c r="A547" s="59"/>
      <c r="B547" s="59"/>
      <c r="C547" s="59"/>
      <c r="D547" s="59"/>
      <c r="E547" s="59"/>
      <c r="F547" s="59"/>
      <c r="G547" s="59"/>
      <c r="H547" s="59"/>
      <c r="I547" s="59"/>
      <c r="J547" s="59"/>
      <c r="K547" s="59"/>
      <c r="L547" s="59"/>
    </row>
    <row r="548">
      <c r="A548" s="59"/>
      <c r="B548" s="59"/>
      <c r="C548" s="59"/>
      <c r="D548" s="59"/>
      <c r="E548" s="59"/>
      <c r="F548" s="59"/>
      <c r="G548" s="59"/>
      <c r="H548" s="59"/>
      <c r="I548" s="59"/>
      <c r="J548" s="59"/>
      <c r="K548" s="59"/>
      <c r="L548" s="59"/>
    </row>
    <row r="549">
      <c r="A549" s="59"/>
      <c r="B549" s="59"/>
      <c r="C549" s="59"/>
      <c r="D549" s="59"/>
      <c r="E549" s="59"/>
      <c r="F549" s="59"/>
      <c r="G549" s="59"/>
      <c r="H549" s="59"/>
      <c r="I549" s="59"/>
      <c r="J549" s="59"/>
      <c r="K549" s="59"/>
      <c r="L549" s="59"/>
    </row>
    <row r="550">
      <c r="A550" s="59"/>
      <c r="B550" s="59"/>
      <c r="C550" s="59"/>
      <c r="D550" s="59"/>
      <c r="E550" s="59"/>
      <c r="F550" s="59"/>
      <c r="G550" s="59"/>
      <c r="H550" s="59"/>
      <c r="I550" s="59"/>
      <c r="J550" s="59"/>
      <c r="K550" s="59"/>
      <c r="L550" s="59"/>
    </row>
    <row r="551">
      <c r="A551" s="59"/>
      <c r="B551" s="59"/>
      <c r="C551" s="59"/>
      <c r="D551" s="59"/>
      <c r="E551" s="59"/>
      <c r="F551" s="59"/>
      <c r="G551" s="59"/>
      <c r="H551" s="59"/>
      <c r="I551" s="59"/>
      <c r="J551" s="59"/>
      <c r="K551" s="59"/>
      <c r="L551" s="59"/>
    </row>
    <row r="552">
      <c r="A552" s="59"/>
      <c r="B552" s="59"/>
      <c r="C552" s="59"/>
      <c r="D552" s="59"/>
      <c r="E552" s="59"/>
      <c r="F552" s="59"/>
      <c r="G552" s="59"/>
      <c r="H552" s="59"/>
      <c r="I552" s="59"/>
      <c r="J552" s="59"/>
      <c r="K552" s="59"/>
      <c r="L552" s="59"/>
    </row>
    <row r="553">
      <c r="A553" s="59"/>
      <c r="B553" s="59"/>
      <c r="C553" s="59"/>
      <c r="D553" s="59"/>
      <c r="E553" s="59"/>
      <c r="F553" s="59"/>
      <c r="G553" s="59"/>
      <c r="H553" s="59"/>
      <c r="I553" s="59"/>
      <c r="J553" s="59"/>
      <c r="K553" s="59"/>
      <c r="L553" s="59"/>
    </row>
    <row r="554">
      <c r="A554" s="59"/>
      <c r="B554" s="59"/>
      <c r="C554" s="59"/>
      <c r="D554" s="59"/>
      <c r="E554" s="59"/>
      <c r="F554" s="59"/>
      <c r="G554" s="59"/>
      <c r="H554" s="59"/>
      <c r="I554" s="59"/>
      <c r="J554" s="59"/>
      <c r="K554" s="59"/>
      <c r="L554" s="59"/>
    </row>
    <row r="555">
      <c r="A555" s="59"/>
      <c r="B555" s="59"/>
      <c r="C555" s="59"/>
      <c r="D555" s="59"/>
      <c r="E555" s="59"/>
      <c r="F555" s="59"/>
      <c r="G555" s="59"/>
      <c r="H555" s="59"/>
      <c r="I555" s="59"/>
      <c r="J555" s="59"/>
      <c r="K555" s="59"/>
      <c r="L555" s="59"/>
    </row>
    <row r="556">
      <c r="A556" s="59"/>
      <c r="B556" s="59"/>
      <c r="C556" s="59"/>
      <c r="D556" s="59"/>
      <c r="E556" s="59"/>
      <c r="F556" s="59"/>
      <c r="G556" s="59"/>
      <c r="H556" s="59"/>
      <c r="I556" s="59"/>
      <c r="J556" s="59"/>
      <c r="K556" s="59"/>
      <c r="L556" s="59"/>
    </row>
    <row r="557">
      <c r="A557" s="59"/>
      <c r="B557" s="59"/>
      <c r="C557" s="59"/>
      <c r="D557" s="59"/>
      <c r="E557" s="59"/>
      <c r="F557" s="59"/>
      <c r="G557" s="59"/>
      <c r="H557" s="59"/>
      <c r="I557" s="59"/>
      <c r="J557" s="59"/>
      <c r="K557" s="59"/>
      <c r="L557" s="59"/>
    </row>
    <row r="558">
      <c r="A558" s="59"/>
      <c r="B558" s="59"/>
      <c r="C558" s="59"/>
      <c r="D558" s="59"/>
      <c r="E558" s="59"/>
      <c r="F558" s="59"/>
      <c r="G558" s="59"/>
      <c r="H558" s="59"/>
      <c r="I558" s="59"/>
      <c r="J558" s="59"/>
      <c r="K558" s="59"/>
      <c r="L558" s="59"/>
    </row>
    <row r="559">
      <c r="A559" s="59"/>
      <c r="B559" s="59"/>
      <c r="C559" s="59"/>
      <c r="D559" s="59"/>
      <c r="E559" s="59"/>
      <c r="F559" s="59"/>
      <c r="G559" s="59"/>
      <c r="H559" s="59"/>
      <c r="I559" s="59"/>
      <c r="J559" s="59"/>
      <c r="K559" s="59"/>
      <c r="L559" s="59"/>
    </row>
    <row r="560">
      <c r="A560" s="59"/>
      <c r="B560" s="59"/>
      <c r="C560" s="59"/>
      <c r="D560" s="59"/>
      <c r="E560" s="59"/>
      <c r="F560" s="59"/>
      <c r="G560" s="59"/>
      <c r="H560" s="59"/>
      <c r="I560" s="59"/>
      <c r="J560" s="59"/>
      <c r="K560" s="59"/>
      <c r="L560" s="59"/>
    </row>
    <row r="561">
      <c r="A561" s="59"/>
      <c r="B561" s="59"/>
      <c r="C561" s="59"/>
      <c r="D561" s="59"/>
      <c r="E561" s="59"/>
      <c r="F561" s="59"/>
      <c r="G561" s="59"/>
      <c r="H561" s="59"/>
      <c r="I561" s="59"/>
      <c r="J561" s="59"/>
      <c r="K561" s="59"/>
      <c r="L561" s="59"/>
    </row>
    <row r="562">
      <c r="A562" s="59"/>
      <c r="B562" s="59"/>
      <c r="C562" s="59"/>
      <c r="D562" s="59"/>
      <c r="E562" s="59"/>
      <c r="F562" s="59"/>
      <c r="G562" s="59"/>
      <c r="H562" s="59"/>
      <c r="I562" s="59"/>
      <c r="J562" s="59"/>
      <c r="K562" s="59"/>
      <c r="L562" s="59"/>
    </row>
    <row r="563">
      <c r="A563" s="59"/>
      <c r="B563" s="59"/>
      <c r="C563" s="59"/>
      <c r="D563" s="59"/>
      <c r="E563" s="59"/>
      <c r="F563" s="59"/>
      <c r="G563" s="59"/>
      <c r="H563" s="59"/>
      <c r="I563" s="59"/>
      <c r="J563" s="59"/>
      <c r="K563" s="59"/>
      <c r="L563" s="59"/>
    </row>
    <row r="564">
      <c r="A564" s="59"/>
      <c r="B564" s="59"/>
      <c r="C564" s="59"/>
      <c r="D564" s="59"/>
      <c r="E564" s="59"/>
      <c r="F564" s="59"/>
      <c r="G564" s="59"/>
      <c r="H564" s="59"/>
      <c r="I564" s="59"/>
      <c r="J564" s="59"/>
      <c r="K564" s="59"/>
      <c r="L564" s="59"/>
    </row>
    <row r="565">
      <c r="A565" s="59"/>
      <c r="B565" s="59"/>
      <c r="C565" s="59"/>
      <c r="D565" s="59"/>
      <c r="E565" s="59"/>
      <c r="F565" s="59"/>
      <c r="G565" s="59"/>
      <c r="H565" s="59"/>
      <c r="I565" s="59"/>
      <c r="J565" s="59"/>
      <c r="K565" s="59"/>
      <c r="L565" s="59"/>
    </row>
    <row r="566">
      <c r="A566" s="59"/>
      <c r="B566" s="59"/>
      <c r="C566" s="59"/>
      <c r="D566" s="59"/>
      <c r="E566" s="59"/>
      <c r="F566" s="59"/>
      <c r="G566" s="59"/>
      <c r="H566" s="59"/>
      <c r="I566" s="59"/>
      <c r="J566" s="59"/>
      <c r="K566" s="59"/>
      <c r="L566" s="59"/>
    </row>
    <row r="567">
      <c r="A567" s="59"/>
      <c r="B567" s="59"/>
      <c r="C567" s="59"/>
      <c r="D567" s="59"/>
      <c r="E567" s="59"/>
      <c r="F567" s="59"/>
      <c r="G567" s="59"/>
      <c r="H567" s="59"/>
      <c r="I567" s="59"/>
      <c r="J567" s="59"/>
      <c r="K567" s="59"/>
      <c r="L567" s="59"/>
    </row>
    <row r="568">
      <c r="A568" s="59"/>
      <c r="B568" s="59"/>
      <c r="C568" s="59"/>
      <c r="D568" s="59"/>
      <c r="E568" s="59"/>
      <c r="F568" s="59"/>
      <c r="G568" s="59"/>
      <c r="H568" s="59"/>
      <c r="I568" s="59"/>
      <c r="J568" s="59"/>
      <c r="K568" s="59"/>
      <c r="L568" s="59"/>
    </row>
    <row r="569">
      <c r="A569" s="59"/>
      <c r="B569" s="59"/>
      <c r="C569" s="59"/>
      <c r="D569" s="59"/>
      <c r="E569" s="59"/>
      <c r="F569" s="59"/>
      <c r="G569" s="59"/>
      <c r="H569" s="59"/>
      <c r="I569" s="59"/>
      <c r="J569" s="59"/>
      <c r="K569" s="59"/>
      <c r="L569" s="59"/>
    </row>
    <row r="570">
      <c r="A570" s="59"/>
      <c r="B570" s="59"/>
      <c r="C570" s="59"/>
      <c r="D570" s="59"/>
      <c r="E570" s="59"/>
      <c r="F570" s="59"/>
      <c r="G570" s="59"/>
      <c r="H570" s="59"/>
      <c r="I570" s="59"/>
      <c r="J570" s="59"/>
      <c r="K570" s="59"/>
      <c r="L570" s="59"/>
    </row>
    <row r="571">
      <c r="A571" s="59"/>
      <c r="B571" s="59"/>
      <c r="C571" s="59"/>
      <c r="D571" s="59"/>
      <c r="E571" s="59"/>
      <c r="F571" s="59"/>
      <c r="G571" s="59"/>
      <c r="H571" s="59"/>
      <c r="I571" s="59"/>
      <c r="J571" s="59"/>
      <c r="K571" s="59"/>
      <c r="L571" s="59"/>
    </row>
    <row r="572">
      <c r="A572" s="59"/>
      <c r="B572" s="59"/>
      <c r="C572" s="59"/>
      <c r="D572" s="59"/>
      <c r="E572" s="59"/>
      <c r="F572" s="59"/>
      <c r="G572" s="59"/>
      <c r="H572" s="59"/>
      <c r="I572" s="59"/>
      <c r="J572" s="59"/>
      <c r="K572" s="59"/>
      <c r="L572" s="59"/>
    </row>
    <row r="573">
      <c r="A573" s="59"/>
      <c r="B573" s="59"/>
      <c r="C573" s="59"/>
      <c r="D573" s="59"/>
      <c r="E573" s="59"/>
      <c r="F573" s="59"/>
      <c r="G573" s="59"/>
      <c r="H573" s="59"/>
      <c r="I573" s="59"/>
      <c r="J573" s="59"/>
      <c r="K573" s="59"/>
      <c r="L573" s="59"/>
    </row>
    <row r="574">
      <c r="A574" s="59"/>
      <c r="B574" s="59"/>
      <c r="C574" s="59"/>
      <c r="D574" s="59"/>
      <c r="E574" s="59"/>
      <c r="F574" s="59"/>
      <c r="G574" s="59"/>
      <c r="H574" s="59"/>
      <c r="I574" s="59"/>
      <c r="J574" s="59"/>
      <c r="K574" s="59"/>
      <c r="L574" s="59"/>
    </row>
    <row r="575">
      <c r="A575" s="59"/>
      <c r="B575" s="59"/>
      <c r="C575" s="59"/>
      <c r="D575" s="59"/>
      <c r="E575" s="59"/>
      <c r="F575" s="59"/>
      <c r="G575" s="59"/>
      <c r="H575" s="59"/>
      <c r="I575" s="59"/>
      <c r="J575" s="59"/>
      <c r="K575" s="59"/>
      <c r="L575" s="59"/>
    </row>
    <row r="576">
      <c r="A576" s="59"/>
      <c r="B576" s="59"/>
      <c r="C576" s="59"/>
      <c r="D576" s="59"/>
      <c r="E576" s="59"/>
      <c r="F576" s="59"/>
      <c r="G576" s="59"/>
      <c r="H576" s="59"/>
      <c r="I576" s="59"/>
      <c r="J576" s="59"/>
      <c r="K576" s="59"/>
      <c r="L576" s="59"/>
    </row>
    <row r="577">
      <c r="A577" s="59"/>
      <c r="B577" s="59"/>
      <c r="C577" s="59"/>
      <c r="D577" s="59"/>
      <c r="E577" s="59"/>
      <c r="F577" s="59"/>
      <c r="G577" s="59"/>
      <c r="H577" s="59"/>
      <c r="I577" s="59"/>
      <c r="J577" s="59"/>
      <c r="K577" s="59"/>
      <c r="L577" s="59"/>
    </row>
    <row r="578">
      <c r="A578" s="59"/>
      <c r="B578" s="59"/>
      <c r="C578" s="59"/>
      <c r="D578" s="59"/>
      <c r="E578" s="59"/>
      <c r="F578" s="59"/>
      <c r="G578" s="59"/>
      <c r="H578" s="59"/>
      <c r="I578" s="59"/>
      <c r="J578" s="59"/>
      <c r="K578" s="59"/>
      <c r="L578" s="59"/>
    </row>
    <row r="579">
      <c r="A579" s="59"/>
      <c r="B579" s="59"/>
      <c r="C579" s="59"/>
      <c r="D579" s="59"/>
      <c r="E579" s="59"/>
      <c r="F579" s="59"/>
      <c r="G579" s="59"/>
      <c r="H579" s="59"/>
      <c r="I579" s="59"/>
      <c r="J579" s="59"/>
      <c r="K579" s="59"/>
      <c r="L579" s="59"/>
    </row>
    <row r="580">
      <c r="A580" s="59"/>
      <c r="B580" s="59"/>
      <c r="C580" s="59"/>
      <c r="D580" s="59"/>
      <c r="E580" s="59"/>
      <c r="F580" s="59"/>
      <c r="G580" s="59"/>
      <c r="H580" s="59"/>
      <c r="I580" s="59"/>
      <c r="J580" s="59"/>
      <c r="K580" s="59"/>
      <c r="L580" s="59"/>
    </row>
    <row r="581">
      <c r="A581" s="59"/>
      <c r="B581" s="59"/>
      <c r="C581" s="59"/>
      <c r="D581" s="59"/>
      <c r="E581" s="59"/>
      <c r="F581" s="59"/>
      <c r="G581" s="59"/>
      <c r="H581" s="59"/>
      <c r="I581" s="59"/>
      <c r="J581" s="59"/>
      <c r="K581" s="59"/>
      <c r="L581" s="59"/>
    </row>
    <row r="582">
      <c r="A582" s="59"/>
      <c r="B582" s="59"/>
      <c r="C582" s="59"/>
      <c r="D582" s="59"/>
      <c r="E582" s="59"/>
      <c r="F582" s="59"/>
      <c r="G582" s="59"/>
      <c r="H582" s="59"/>
      <c r="I582" s="59"/>
      <c r="J582" s="59"/>
      <c r="K582" s="59"/>
      <c r="L582" s="59"/>
    </row>
    <row r="583">
      <c r="A583" s="59"/>
      <c r="B583" s="59"/>
      <c r="C583" s="59"/>
      <c r="D583" s="59"/>
      <c r="E583" s="59"/>
      <c r="F583" s="59"/>
      <c r="G583" s="59"/>
      <c r="H583" s="59"/>
      <c r="I583" s="59"/>
      <c r="J583" s="59"/>
      <c r="K583" s="59"/>
      <c r="L583" s="59"/>
    </row>
    <row r="584">
      <c r="A584" s="59"/>
      <c r="B584" s="59"/>
      <c r="C584" s="59"/>
      <c r="D584" s="59"/>
      <c r="E584" s="59"/>
      <c r="F584" s="59"/>
      <c r="G584" s="59"/>
      <c r="H584" s="59"/>
      <c r="I584" s="59"/>
      <c r="J584" s="59"/>
      <c r="K584" s="59"/>
      <c r="L584" s="59"/>
    </row>
    <row r="585">
      <c r="A585" s="59"/>
      <c r="B585" s="59"/>
      <c r="C585" s="59"/>
      <c r="D585" s="59"/>
      <c r="E585" s="59"/>
      <c r="F585" s="59"/>
      <c r="G585" s="59"/>
      <c r="H585" s="59"/>
      <c r="I585" s="59"/>
      <c r="J585" s="59"/>
      <c r="K585" s="59"/>
      <c r="L585" s="59"/>
    </row>
    <row r="586">
      <c r="A586" s="59"/>
      <c r="B586" s="59"/>
      <c r="C586" s="59"/>
      <c r="D586" s="59"/>
      <c r="E586" s="59"/>
      <c r="F586" s="59"/>
      <c r="G586" s="59"/>
      <c r="H586" s="59"/>
      <c r="I586" s="59"/>
      <c r="J586" s="59"/>
      <c r="K586" s="59"/>
      <c r="L586" s="59"/>
    </row>
    <row r="587">
      <c r="A587" s="59"/>
      <c r="B587" s="59"/>
      <c r="C587" s="59"/>
      <c r="D587" s="59"/>
      <c r="E587" s="59"/>
      <c r="F587" s="59"/>
      <c r="G587" s="59"/>
      <c r="H587" s="59"/>
      <c r="I587" s="59"/>
      <c r="J587" s="59"/>
      <c r="K587" s="59"/>
      <c r="L587" s="59"/>
    </row>
    <row r="588">
      <c r="A588" s="59"/>
      <c r="B588" s="59"/>
      <c r="C588" s="59"/>
      <c r="D588" s="59"/>
      <c r="E588" s="59"/>
      <c r="F588" s="59"/>
      <c r="G588" s="59"/>
      <c r="H588" s="59"/>
      <c r="I588" s="59"/>
      <c r="J588" s="59"/>
      <c r="K588" s="59"/>
      <c r="L588" s="59"/>
    </row>
    <row r="589">
      <c r="A589" s="59"/>
      <c r="B589" s="59"/>
      <c r="C589" s="59"/>
      <c r="D589" s="59"/>
      <c r="E589" s="59"/>
      <c r="F589" s="59"/>
      <c r="G589" s="59"/>
      <c r="H589" s="59"/>
      <c r="I589" s="59"/>
      <c r="J589" s="59"/>
      <c r="K589" s="59"/>
      <c r="L589" s="59"/>
    </row>
    <row r="590">
      <c r="A590" s="59"/>
      <c r="B590" s="59"/>
      <c r="C590" s="59"/>
      <c r="D590" s="59"/>
      <c r="E590" s="59"/>
      <c r="F590" s="59"/>
      <c r="G590" s="59"/>
      <c r="H590" s="59"/>
      <c r="I590" s="59"/>
      <c r="J590" s="59"/>
      <c r="K590" s="59"/>
      <c r="L590" s="59"/>
    </row>
    <row r="591">
      <c r="A591" s="59"/>
      <c r="B591" s="59"/>
      <c r="C591" s="59"/>
      <c r="D591" s="59"/>
      <c r="E591" s="59"/>
      <c r="F591" s="59"/>
      <c r="G591" s="59"/>
      <c r="H591" s="59"/>
      <c r="I591" s="59"/>
      <c r="J591" s="59"/>
      <c r="K591" s="59"/>
      <c r="L591" s="59"/>
    </row>
    <row r="592">
      <c r="A592" s="59"/>
      <c r="B592" s="59"/>
      <c r="C592" s="59"/>
      <c r="D592" s="59"/>
      <c r="E592" s="59"/>
      <c r="F592" s="59"/>
      <c r="G592" s="59"/>
      <c r="H592" s="59"/>
      <c r="I592" s="59"/>
      <c r="J592" s="59"/>
      <c r="K592" s="59"/>
      <c r="L592" s="59"/>
    </row>
    <row r="593">
      <c r="A593" s="59"/>
      <c r="B593" s="59"/>
      <c r="C593" s="59"/>
      <c r="D593" s="59"/>
      <c r="E593" s="59"/>
      <c r="F593" s="59"/>
      <c r="G593" s="59"/>
      <c r="H593" s="59"/>
      <c r="I593" s="59"/>
      <c r="J593" s="59"/>
      <c r="K593" s="59"/>
      <c r="L593" s="59"/>
    </row>
    <row r="594">
      <c r="A594" s="59"/>
      <c r="B594" s="59"/>
      <c r="C594" s="59"/>
      <c r="D594" s="59"/>
      <c r="E594" s="59"/>
      <c r="F594" s="59"/>
      <c r="G594" s="59"/>
      <c r="H594" s="59"/>
      <c r="I594" s="59"/>
      <c r="J594" s="59"/>
      <c r="K594" s="59"/>
      <c r="L594" s="59"/>
    </row>
    <row r="595">
      <c r="A595" s="59"/>
      <c r="B595" s="59"/>
      <c r="C595" s="59"/>
      <c r="D595" s="59"/>
      <c r="E595" s="59"/>
      <c r="F595" s="59"/>
      <c r="G595" s="59"/>
      <c r="H595" s="59"/>
      <c r="I595" s="59"/>
      <c r="J595" s="59"/>
      <c r="K595" s="59"/>
      <c r="L595" s="59"/>
    </row>
    <row r="596">
      <c r="A596" s="59"/>
      <c r="B596" s="59"/>
      <c r="C596" s="59"/>
      <c r="D596" s="59"/>
      <c r="E596" s="59"/>
      <c r="F596" s="59"/>
      <c r="G596" s="59"/>
      <c r="H596" s="59"/>
      <c r="I596" s="59"/>
      <c r="J596" s="59"/>
      <c r="K596" s="59"/>
      <c r="L596" s="59"/>
    </row>
    <row r="597">
      <c r="A597" s="59"/>
      <c r="B597" s="59"/>
      <c r="C597" s="59"/>
      <c r="D597" s="59"/>
      <c r="E597" s="59"/>
      <c r="F597" s="59"/>
      <c r="G597" s="59"/>
      <c r="H597" s="59"/>
      <c r="I597" s="59"/>
      <c r="J597" s="59"/>
      <c r="K597" s="59"/>
      <c r="L597" s="59"/>
    </row>
    <row r="598">
      <c r="A598" s="59"/>
      <c r="B598" s="59"/>
      <c r="C598" s="59"/>
      <c r="D598" s="59"/>
      <c r="E598" s="59"/>
      <c r="F598" s="59"/>
      <c r="G598" s="59"/>
      <c r="H598" s="59"/>
      <c r="I598" s="59"/>
      <c r="J598" s="59"/>
      <c r="K598" s="59"/>
      <c r="L598" s="59"/>
    </row>
    <row r="599">
      <c r="A599" s="59"/>
      <c r="B599" s="59"/>
      <c r="C599" s="59"/>
      <c r="D599" s="59"/>
      <c r="E599" s="59"/>
      <c r="F599" s="59"/>
      <c r="G599" s="59"/>
      <c r="H599" s="59"/>
      <c r="I599" s="59"/>
      <c r="J599" s="59"/>
      <c r="K599" s="59"/>
      <c r="L599" s="59"/>
    </row>
    <row r="600">
      <c r="A600" s="59"/>
      <c r="B600" s="59"/>
      <c r="C600" s="59"/>
      <c r="D600" s="59"/>
      <c r="E600" s="59"/>
      <c r="F600" s="59"/>
      <c r="G600" s="59"/>
      <c r="H600" s="59"/>
      <c r="I600" s="59"/>
      <c r="J600" s="59"/>
      <c r="K600" s="59"/>
      <c r="L600" s="59"/>
    </row>
    <row r="601">
      <c r="A601" s="59"/>
      <c r="B601" s="59"/>
      <c r="C601" s="59"/>
      <c r="D601" s="59"/>
      <c r="E601" s="59"/>
      <c r="F601" s="59"/>
      <c r="G601" s="59"/>
      <c r="H601" s="59"/>
      <c r="I601" s="59"/>
      <c r="J601" s="59"/>
      <c r="K601" s="59"/>
      <c r="L601" s="59"/>
    </row>
    <row r="602">
      <c r="A602" s="59"/>
      <c r="B602" s="59"/>
      <c r="C602" s="59"/>
      <c r="D602" s="59"/>
      <c r="E602" s="59"/>
      <c r="F602" s="59"/>
      <c r="G602" s="59"/>
      <c r="H602" s="59"/>
      <c r="I602" s="59"/>
      <c r="J602" s="59"/>
      <c r="K602" s="59"/>
      <c r="L602" s="59"/>
    </row>
    <row r="603">
      <c r="A603" s="59"/>
      <c r="B603" s="59"/>
      <c r="C603" s="59"/>
      <c r="D603" s="59"/>
      <c r="E603" s="59"/>
      <c r="F603" s="59"/>
      <c r="G603" s="59"/>
      <c r="H603" s="59"/>
      <c r="I603" s="59"/>
      <c r="J603" s="59"/>
      <c r="K603" s="59"/>
      <c r="L603" s="59"/>
    </row>
    <row r="604">
      <c r="A604" s="59"/>
      <c r="B604" s="59"/>
      <c r="C604" s="59"/>
      <c r="D604" s="59"/>
      <c r="E604" s="59"/>
      <c r="F604" s="59"/>
      <c r="G604" s="59"/>
      <c r="H604" s="59"/>
      <c r="I604" s="59"/>
      <c r="J604" s="59"/>
      <c r="K604" s="59"/>
      <c r="L604" s="59"/>
    </row>
    <row r="605">
      <c r="A605" s="59"/>
      <c r="B605" s="59"/>
      <c r="C605" s="59"/>
      <c r="D605" s="59"/>
      <c r="E605" s="59"/>
      <c r="F605" s="59"/>
      <c r="G605" s="59"/>
      <c r="H605" s="59"/>
      <c r="I605" s="59"/>
      <c r="J605" s="59"/>
      <c r="K605" s="59"/>
      <c r="L605" s="59"/>
    </row>
    <row r="606">
      <c r="A606" s="59"/>
      <c r="B606" s="59"/>
      <c r="C606" s="59"/>
      <c r="D606" s="59"/>
      <c r="E606" s="59"/>
      <c r="F606" s="59"/>
      <c r="G606" s="59"/>
      <c r="H606" s="59"/>
      <c r="I606" s="59"/>
      <c r="J606" s="59"/>
      <c r="K606" s="59"/>
      <c r="L606" s="59"/>
    </row>
    <row r="607">
      <c r="A607" s="59"/>
      <c r="B607" s="59"/>
      <c r="C607" s="59"/>
      <c r="D607" s="59"/>
      <c r="E607" s="59"/>
      <c r="F607" s="59"/>
      <c r="G607" s="59"/>
      <c r="H607" s="59"/>
      <c r="I607" s="59"/>
      <c r="J607" s="59"/>
      <c r="K607" s="59"/>
      <c r="L607" s="59"/>
    </row>
    <row r="608">
      <c r="A608" s="59"/>
      <c r="B608" s="59"/>
      <c r="C608" s="59"/>
      <c r="D608" s="59"/>
      <c r="E608" s="59"/>
      <c r="F608" s="59"/>
      <c r="G608" s="59"/>
      <c r="H608" s="59"/>
      <c r="I608" s="59"/>
      <c r="J608" s="59"/>
      <c r="K608" s="59"/>
      <c r="L608" s="59"/>
    </row>
    <row r="609">
      <c r="A609" s="59"/>
      <c r="B609" s="59"/>
      <c r="C609" s="59"/>
      <c r="D609" s="59"/>
      <c r="E609" s="59"/>
      <c r="F609" s="59"/>
      <c r="G609" s="59"/>
      <c r="H609" s="59"/>
      <c r="I609" s="59"/>
      <c r="J609" s="59"/>
      <c r="K609" s="59"/>
      <c r="L609" s="59"/>
    </row>
    <row r="610">
      <c r="A610" s="59"/>
      <c r="B610" s="59"/>
      <c r="C610" s="59"/>
      <c r="D610" s="59"/>
      <c r="E610" s="59"/>
      <c r="F610" s="59"/>
      <c r="G610" s="59"/>
      <c r="H610" s="59"/>
      <c r="I610" s="59"/>
      <c r="J610" s="59"/>
      <c r="K610" s="59"/>
      <c r="L610" s="59"/>
    </row>
    <row r="611">
      <c r="A611" s="59"/>
      <c r="B611" s="59"/>
      <c r="C611" s="59"/>
      <c r="D611" s="59"/>
      <c r="E611" s="59"/>
      <c r="F611" s="59"/>
      <c r="G611" s="59"/>
      <c r="H611" s="59"/>
      <c r="I611" s="59"/>
      <c r="J611" s="59"/>
      <c r="K611" s="59"/>
      <c r="L611" s="59"/>
    </row>
    <row r="612">
      <c r="A612" s="59"/>
      <c r="B612" s="59"/>
      <c r="C612" s="59"/>
      <c r="D612" s="59"/>
      <c r="E612" s="59"/>
      <c r="F612" s="59"/>
      <c r="G612" s="59"/>
      <c r="H612" s="59"/>
      <c r="I612" s="59"/>
      <c r="J612" s="59"/>
      <c r="K612" s="59"/>
      <c r="L612" s="59"/>
    </row>
    <row r="613">
      <c r="A613" s="59"/>
      <c r="B613" s="59"/>
      <c r="C613" s="59"/>
      <c r="D613" s="59"/>
      <c r="E613" s="59"/>
      <c r="F613" s="59"/>
      <c r="G613" s="59"/>
      <c r="H613" s="59"/>
      <c r="I613" s="59"/>
      <c r="J613" s="59"/>
      <c r="K613" s="59"/>
      <c r="L613" s="59"/>
    </row>
    <row r="614">
      <c r="A614" s="59"/>
      <c r="B614" s="59"/>
      <c r="C614" s="59"/>
      <c r="D614" s="59"/>
      <c r="E614" s="59"/>
      <c r="F614" s="59"/>
      <c r="G614" s="59"/>
      <c r="H614" s="59"/>
      <c r="I614" s="59"/>
      <c r="J614" s="59"/>
      <c r="K614" s="59"/>
      <c r="L614" s="59"/>
    </row>
    <row r="615">
      <c r="A615" s="59"/>
      <c r="B615" s="59"/>
      <c r="C615" s="59"/>
      <c r="D615" s="59"/>
      <c r="E615" s="59"/>
      <c r="F615" s="59"/>
      <c r="G615" s="59"/>
      <c r="H615" s="59"/>
      <c r="I615" s="59"/>
      <c r="J615" s="59"/>
      <c r="K615" s="59"/>
      <c r="L615" s="59"/>
    </row>
    <row r="616">
      <c r="A616" s="59"/>
      <c r="B616" s="59"/>
      <c r="C616" s="59"/>
      <c r="D616" s="59"/>
      <c r="E616" s="59"/>
      <c r="F616" s="59"/>
      <c r="G616" s="59"/>
      <c r="H616" s="59"/>
      <c r="I616" s="59"/>
      <c r="J616" s="59"/>
      <c r="K616" s="59"/>
      <c r="L616" s="59"/>
    </row>
    <row r="617">
      <c r="A617" s="59"/>
      <c r="B617" s="59"/>
      <c r="C617" s="59"/>
      <c r="D617" s="59"/>
      <c r="E617" s="59"/>
      <c r="F617" s="59"/>
      <c r="G617" s="59"/>
      <c r="H617" s="59"/>
      <c r="I617" s="59"/>
      <c r="J617" s="59"/>
      <c r="K617" s="59"/>
      <c r="L617" s="59"/>
    </row>
    <row r="618">
      <c r="A618" s="59"/>
      <c r="B618" s="59"/>
      <c r="C618" s="59"/>
      <c r="D618" s="59"/>
      <c r="E618" s="59"/>
      <c r="F618" s="59"/>
      <c r="G618" s="59"/>
      <c r="H618" s="59"/>
      <c r="I618" s="59"/>
      <c r="J618" s="59"/>
      <c r="K618" s="59"/>
      <c r="L618" s="59"/>
    </row>
    <row r="619">
      <c r="A619" s="59"/>
      <c r="B619" s="59"/>
      <c r="C619" s="59"/>
      <c r="D619" s="59"/>
      <c r="E619" s="59"/>
      <c r="F619" s="59"/>
      <c r="G619" s="59"/>
      <c r="H619" s="59"/>
      <c r="I619" s="59"/>
      <c r="J619" s="59"/>
      <c r="K619" s="59"/>
      <c r="L619" s="59"/>
    </row>
    <row r="620">
      <c r="A620" s="59"/>
      <c r="B620" s="59"/>
      <c r="C620" s="59"/>
      <c r="D620" s="59"/>
      <c r="E620" s="59"/>
      <c r="F620" s="59"/>
      <c r="G620" s="59"/>
      <c r="H620" s="59"/>
      <c r="I620" s="59"/>
      <c r="J620" s="59"/>
      <c r="K620" s="59"/>
      <c r="L620" s="59"/>
    </row>
    <row r="621">
      <c r="A621" s="59"/>
      <c r="B621" s="59"/>
      <c r="C621" s="59"/>
      <c r="D621" s="59"/>
      <c r="E621" s="59"/>
      <c r="F621" s="59"/>
      <c r="G621" s="59"/>
      <c r="H621" s="59"/>
      <c r="I621" s="59"/>
      <c r="J621" s="59"/>
      <c r="K621" s="59"/>
      <c r="L621" s="59"/>
    </row>
    <row r="622">
      <c r="A622" s="59"/>
      <c r="B622" s="59"/>
      <c r="C622" s="59"/>
      <c r="D622" s="59"/>
      <c r="E622" s="59"/>
      <c r="F622" s="59"/>
      <c r="G622" s="59"/>
      <c r="H622" s="59"/>
      <c r="I622" s="59"/>
      <c r="J622" s="59"/>
      <c r="K622" s="59"/>
      <c r="L622" s="59"/>
    </row>
    <row r="623">
      <c r="A623" s="59"/>
      <c r="B623" s="59"/>
      <c r="C623" s="59"/>
      <c r="D623" s="59"/>
      <c r="E623" s="59"/>
      <c r="F623" s="59"/>
      <c r="G623" s="59"/>
      <c r="H623" s="59"/>
      <c r="I623" s="59"/>
      <c r="J623" s="59"/>
      <c r="K623" s="59"/>
      <c r="L623" s="59"/>
    </row>
    <row r="624">
      <c r="A624" s="59"/>
      <c r="B624" s="59"/>
      <c r="C624" s="59"/>
      <c r="D624" s="59"/>
      <c r="E624" s="59"/>
      <c r="F624" s="59"/>
      <c r="G624" s="59"/>
      <c r="H624" s="59"/>
      <c r="I624" s="59"/>
      <c r="J624" s="59"/>
      <c r="K624" s="59"/>
      <c r="L624" s="59"/>
    </row>
    <row r="625">
      <c r="A625" s="59"/>
      <c r="B625" s="59"/>
      <c r="C625" s="59"/>
      <c r="D625" s="59"/>
      <c r="E625" s="59"/>
      <c r="F625" s="59"/>
      <c r="G625" s="59"/>
      <c r="H625" s="59"/>
      <c r="I625" s="59"/>
      <c r="J625" s="59"/>
      <c r="K625" s="59"/>
      <c r="L625" s="59"/>
    </row>
    <row r="626">
      <c r="A626" s="59"/>
      <c r="B626" s="59"/>
      <c r="C626" s="59"/>
      <c r="D626" s="59"/>
      <c r="E626" s="59"/>
      <c r="F626" s="59"/>
      <c r="G626" s="59"/>
      <c r="H626" s="59"/>
      <c r="I626" s="59"/>
      <c r="J626" s="59"/>
      <c r="K626" s="59"/>
      <c r="L626" s="59"/>
    </row>
    <row r="627">
      <c r="A627" s="59"/>
      <c r="B627" s="59"/>
      <c r="C627" s="59"/>
      <c r="D627" s="59"/>
      <c r="E627" s="59"/>
      <c r="F627" s="59"/>
      <c r="G627" s="59"/>
      <c r="H627" s="59"/>
      <c r="I627" s="59"/>
      <c r="J627" s="59"/>
      <c r="K627" s="59"/>
      <c r="L627" s="59"/>
    </row>
    <row r="628">
      <c r="A628" s="59"/>
      <c r="B628" s="59"/>
      <c r="C628" s="59"/>
      <c r="D628" s="59"/>
      <c r="E628" s="59"/>
      <c r="F628" s="59"/>
      <c r="G628" s="59"/>
      <c r="H628" s="59"/>
      <c r="I628" s="59"/>
      <c r="J628" s="59"/>
      <c r="K628" s="59"/>
      <c r="L628" s="59"/>
    </row>
    <row r="629">
      <c r="A629" s="59"/>
      <c r="B629" s="59"/>
      <c r="C629" s="59"/>
      <c r="D629" s="59"/>
      <c r="E629" s="59"/>
      <c r="F629" s="59"/>
      <c r="G629" s="59"/>
      <c r="H629" s="59"/>
      <c r="I629" s="59"/>
      <c r="J629" s="59"/>
      <c r="K629" s="59"/>
      <c r="L629" s="59"/>
    </row>
    <row r="630">
      <c r="A630" s="59"/>
      <c r="B630" s="59"/>
      <c r="C630" s="59"/>
      <c r="D630" s="59"/>
      <c r="E630" s="59"/>
      <c r="F630" s="59"/>
      <c r="G630" s="59"/>
      <c r="H630" s="59"/>
      <c r="I630" s="59"/>
      <c r="J630" s="59"/>
      <c r="K630" s="59"/>
      <c r="L630" s="59"/>
    </row>
    <row r="631">
      <c r="A631" s="59"/>
      <c r="B631" s="59"/>
      <c r="C631" s="59"/>
      <c r="D631" s="59"/>
      <c r="E631" s="59"/>
      <c r="F631" s="59"/>
      <c r="G631" s="59"/>
      <c r="H631" s="59"/>
      <c r="I631" s="59"/>
      <c r="J631" s="59"/>
      <c r="K631" s="59"/>
      <c r="L631" s="59"/>
    </row>
    <row r="632">
      <c r="A632" s="59"/>
      <c r="B632" s="59"/>
      <c r="C632" s="59"/>
      <c r="D632" s="59"/>
      <c r="E632" s="59"/>
      <c r="F632" s="59"/>
      <c r="G632" s="59"/>
      <c r="H632" s="59"/>
      <c r="I632" s="59"/>
      <c r="J632" s="59"/>
      <c r="K632" s="59"/>
      <c r="L632" s="59"/>
    </row>
    <row r="633">
      <c r="A633" s="59"/>
      <c r="B633" s="59"/>
      <c r="C633" s="59"/>
      <c r="D633" s="59"/>
      <c r="E633" s="59"/>
      <c r="F633" s="59"/>
      <c r="G633" s="59"/>
      <c r="H633" s="59"/>
      <c r="I633" s="59"/>
      <c r="J633" s="59"/>
      <c r="K633" s="59"/>
      <c r="L633" s="59"/>
    </row>
    <row r="634">
      <c r="A634" s="59"/>
      <c r="B634" s="59"/>
      <c r="C634" s="59"/>
      <c r="D634" s="59"/>
      <c r="E634" s="59"/>
      <c r="F634" s="59"/>
      <c r="G634" s="59"/>
      <c r="H634" s="59"/>
      <c r="I634" s="59"/>
      <c r="J634" s="59"/>
      <c r="K634" s="59"/>
      <c r="L634" s="59"/>
    </row>
    <row r="635">
      <c r="A635" s="59"/>
      <c r="B635" s="59"/>
      <c r="C635" s="59"/>
      <c r="D635" s="59"/>
      <c r="E635" s="59"/>
      <c r="F635" s="59"/>
      <c r="G635" s="59"/>
      <c r="H635" s="59"/>
      <c r="I635" s="59"/>
      <c r="J635" s="59"/>
      <c r="K635" s="59"/>
      <c r="L635" s="59"/>
    </row>
    <row r="636">
      <c r="A636" s="59"/>
      <c r="B636" s="59"/>
      <c r="C636" s="59"/>
      <c r="D636" s="59"/>
      <c r="E636" s="59"/>
      <c r="F636" s="59"/>
      <c r="G636" s="59"/>
      <c r="H636" s="59"/>
      <c r="I636" s="59"/>
      <c r="J636" s="59"/>
      <c r="K636" s="59"/>
      <c r="L636" s="59"/>
    </row>
    <row r="637">
      <c r="A637" s="59"/>
      <c r="B637" s="59"/>
      <c r="C637" s="59"/>
      <c r="D637" s="59"/>
      <c r="E637" s="59"/>
      <c r="F637" s="59"/>
      <c r="G637" s="59"/>
      <c r="H637" s="59"/>
      <c r="I637" s="59"/>
      <c r="J637" s="59"/>
      <c r="K637" s="59"/>
      <c r="L637" s="59"/>
    </row>
    <row r="638">
      <c r="A638" s="59"/>
      <c r="B638" s="59"/>
      <c r="C638" s="59"/>
      <c r="D638" s="59"/>
      <c r="E638" s="59"/>
      <c r="F638" s="59"/>
      <c r="G638" s="59"/>
      <c r="H638" s="59"/>
      <c r="I638" s="59"/>
      <c r="J638" s="59"/>
      <c r="K638" s="59"/>
      <c r="L638" s="59"/>
    </row>
    <row r="639">
      <c r="A639" s="59"/>
      <c r="B639" s="59"/>
      <c r="C639" s="59"/>
      <c r="D639" s="59"/>
      <c r="E639" s="59"/>
      <c r="F639" s="59"/>
      <c r="G639" s="59"/>
      <c r="H639" s="59"/>
      <c r="I639" s="59"/>
      <c r="J639" s="59"/>
      <c r="K639" s="59"/>
      <c r="L639" s="59"/>
    </row>
    <row r="640">
      <c r="A640" s="59"/>
      <c r="B640" s="59"/>
      <c r="C640" s="59"/>
      <c r="D640" s="59"/>
      <c r="E640" s="59"/>
      <c r="F640" s="59"/>
      <c r="G640" s="59"/>
      <c r="H640" s="59"/>
      <c r="I640" s="59"/>
      <c r="J640" s="59"/>
      <c r="K640" s="59"/>
      <c r="L640" s="59"/>
    </row>
    <row r="641">
      <c r="A641" s="59"/>
      <c r="B641" s="59"/>
      <c r="C641" s="59"/>
      <c r="D641" s="59"/>
      <c r="E641" s="59"/>
      <c r="F641" s="59"/>
      <c r="G641" s="59"/>
      <c r="H641" s="59"/>
      <c r="I641" s="59"/>
      <c r="J641" s="59"/>
      <c r="K641" s="59"/>
      <c r="L641" s="59"/>
    </row>
    <row r="642">
      <c r="A642" s="59"/>
      <c r="B642" s="59"/>
      <c r="C642" s="59"/>
      <c r="D642" s="59"/>
      <c r="E642" s="59"/>
      <c r="F642" s="59"/>
      <c r="G642" s="59"/>
      <c r="H642" s="59"/>
      <c r="I642" s="59"/>
      <c r="J642" s="59"/>
      <c r="K642" s="59"/>
      <c r="L642" s="59"/>
    </row>
    <row r="643">
      <c r="A643" s="59"/>
      <c r="B643" s="59"/>
      <c r="C643" s="59"/>
      <c r="D643" s="59"/>
      <c r="E643" s="59"/>
      <c r="F643" s="59"/>
      <c r="G643" s="59"/>
      <c r="H643" s="59"/>
      <c r="I643" s="59"/>
      <c r="J643" s="59"/>
      <c r="K643" s="59"/>
      <c r="L643" s="59"/>
    </row>
    <row r="644">
      <c r="A644" s="59"/>
      <c r="B644" s="59"/>
      <c r="C644" s="59"/>
      <c r="D644" s="59"/>
      <c r="E644" s="59"/>
      <c r="F644" s="59"/>
      <c r="G644" s="59"/>
      <c r="H644" s="59"/>
      <c r="I644" s="59"/>
      <c r="J644" s="59"/>
      <c r="K644" s="59"/>
      <c r="L644" s="59"/>
    </row>
    <row r="645">
      <c r="A645" s="59"/>
      <c r="B645" s="59"/>
      <c r="C645" s="59"/>
      <c r="D645" s="59"/>
      <c r="E645" s="59"/>
      <c r="F645" s="59"/>
      <c r="G645" s="59"/>
      <c r="H645" s="59"/>
      <c r="I645" s="59"/>
      <c r="J645" s="59"/>
      <c r="K645" s="59"/>
      <c r="L645" s="59"/>
    </row>
    <row r="646">
      <c r="A646" s="59"/>
      <c r="B646" s="59"/>
      <c r="C646" s="59"/>
      <c r="D646" s="59"/>
      <c r="E646" s="59"/>
      <c r="F646" s="59"/>
      <c r="G646" s="59"/>
      <c r="H646" s="59"/>
      <c r="I646" s="59"/>
      <c r="J646" s="59"/>
      <c r="K646" s="59"/>
      <c r="L646" s="59"/>
    </row>
    <row r="647">
      <c r="A647" s="59"/>
      <c r="B647" s="59"/>
      <c r="C647" s="59"/>
      <c r="D647" s="59"/>
      <c r="E647" s="59"/>
      <c r="F647" s="59"/>
      <c r="G647" s="59"/>
      <c r="H647" s="59"/>
      <c r="I647" s="59"/>
      <c r="J647" s="59"/>
      <c r="K647" s="59"/>
      <c r="L647" s="59"/>
    </row>
    <row r="648">
      <c r="A648" s="59"/>
      <c r="B648" s="59"/>
      <c r="C648" s="59"/>
      <c r="D648" s="59"/>
      <c r="E648" s="59"/>
      <c r="F648" s="59"/>
      <c r="G648" s="59"/>
      <c r="H648" s="59"/>
      <c r="I648" s="59"/>
      <c r="J648" s="59"/>
      <c r="K648" s="59"/>
      <c r="L648" s="59"/>
    </row>
    <row r="649">
      <c r="A649" s="59"/>
      <c r="B649" s="59"/>
      <c r="C649" s="59"/>
      <c r="D649" s="59"/>
      <c r="E649" s="59"/>
      <c r="F649" s="59"/>
      <c r="G649" s="59"/>
      <c r="H649" s="59"/>
      <c r="I649" s="59"/>
      <c r="J649" s="59"/>
      <c r="K649" s="59"/>
      <c r="L649" s="59"/>
    </row>
    <row r="650">
      <c r="A650" s="59"/>
      <c r="B650" s="59"/>
      <c r="C650" s="59"/>
      <c r="D650" s="59"/>
      <c r="E650" s="59"/>
      <c r="F650" s="59"/>
      <c r="G650" s="59"/>
      <c r="H650" s="59"/>
      <c r="I650" s="59"/>
      <c r="J650" s="59"/>
      <c r="K650" s="59"/>
      <c r="L650" s="59"/>
    </row>
    <row r="651">
      <c r="A651" s="59"/>
      <c r="B651" s="59"/>
      <c r="C651" s="59"/>
      <c r="D651" s="59"/>
      <c r="E651" s="59"/>
      <c r="F651" s="59"/>
      <c r="G651" s="59"/>
      <c r="H651" s="59"/>
      <c r="I651" s="59"/>
      <c r="J651" s="59"/>
      <c r="K651" s="59"/>
      <c r="L651" s="59"/>
    </row>
    <row r="652">
      <c r="A652" s="59"/>
      <c r="B652" s="59"/>
      <c r="C652" s="59"/>
      <c r="D652" s="59"/>
      <c r="E652" s="59"/>
      <c r="F652" s="59"/>
      <c r="G652" s="59"/>
      <c r="H652" s="59"/>
      <c r="I652" s="59"/>
      <c r="J652" s="59"/>
      <c r="K652" s="59"/>
      <c r="L652" s="59"/>
    </row>
    <row r="653">
      <c r="A653" s="59"/>
      <c r="B653" s="59"/>
      <c r="C653" s="59"/>
      <c r="D653" s="59"/>
      <c r="E653" s="59"/>
      <c r="F653" s="59"/>
      <c r="G653" s="59"/>
      <c r="H653" s="59"/>
      <c r="I653" s="59"/>
      <c r="J653" s="59"/>
      <c r="K653" s="59"/>
      <c r="L653" s="59"/>
    </row>
    <row r="654">
      <c r="A654" s="59"/>
      <c r="B654" s="59"/>
      <c r="C654" s="59"/>
      <c r="D654" s="59"/>
      <c r="E654" s="59"/>
      <c r="F654" s="59"/>
      <c r="G654" s="59"/>
      <c r="H654" s="59"/>
      <c r="I654" s="59"/>
      <c r="J654" s="59"/>
      <c r="K654" s="59"/>
      <c r="L654" s="59"/>
    </row>
    <row r="655">
      <c r="A655" s="59"/>
      <c r="B655" s="59"/>
      <c r="C655" s="59"/>
      <c r="D655" s="59"/>
      <c r="E655" s="59"/>
      <c r="F655" s="59"/>
      <c r="G655" s="59"/>
      <c r="H655" s="59"/>
      <c r="I655" s="59"/>
      <c r="J655" s="59"/>
      <c r="K655" s="59"/>
      <c r="L655" s="59"/>
    </row>
    <row r="656">
      <c r="A656" s="59"/>
      <c r="B656" s="59"/>
      <c r="C656" s="59"/>
      <c r="D656" s="59"/>
      <c r="E656" s="59"/>
      <c r="F656" s="59"/>
      <c r="G656" s="59"/>
      <c r="H656" s="59"/>
      <c r="I656" s="59"/>
      <c r="J656" s="59"/>
      <c r="K656" s="59"/>
      <c r="L656" s="59"/>
    </row>
    <row r="657">
      <c r="A657" s="59"/>
      <c r="B657" s="59"/>
      <c r="C657" s="59"/>
      <c r="D657" s="59"/>
      <c r="E657" s="59"/>
      <c r="F657" s="59"/>
      <c r="G657" s="59"/>
      <c r="H657" s="59"/>
      <c r="I657" s="59"/>
      <c r="J657" s="59"/>
      <c r="K657" s="59"/>
      <c r="L657" s="59"/>
    </row>
    <row r="658">
      <c r="A658" s="59"/>
      <c r="B658" s="59"/>
      <c r="C658" s="59"/>
      <c r="D658" s="59"/>
      <c r="E658" s="59"/>
      <c r="F658" s="59"/>
      <c r="G658" s="59"/>
      <c r="H658" s="59"/>
      <c r="I658" s="59"/>
      <c r="J658" s="59"/>
      <c r="K658" s="59"/>
      <c r="L658" s="59"/>
    </row>
    <row r="659">
      <c r="A659" s="59"/>
      <c r="B659" s="59"/>
      <c r="C659" s="59"/>
      <c r="D659" s="59"/>
      <c r="E659" s="59"/>
      <c r="F659" s="59"/>
      <c r="G659" s="59"/>
      <c r="H659" s="59"/>
      <c r="I659" s="59"/>
      <c r="J659" s="59"/>
      <c r="K659" s="59"/>
      <c r="L659" s="59"/>
    </row>
    <row r="660">
      <c r="A660" s="59"/>
      <c r="B660" s="59"/>
      <c r="C660" s="59"/>
      <c r="D660" s="59"/>
      <c r="E660" s="59"/>
      <c r="F660" s="59"/>
      <c r="G660" s="59"/>
      <c r="H660" s="59"/>
      <c r="I660" s="59"/>
      <c r="J660" s="59"/>
      <c r="K660" s="59"/>
      <c r="L660" s="59"/>
    </row>
    <row r="661">
      <c r="A661" s="59"/>
      <c r="B661" s="59"/>
      <c r="C661" s="59"/>
      <c r="D661" s="59"/>
      <c r="E661" s="59"/>
      <c r="F661" s="59"/>
      <c r="G661" s="59"/>
      <c r="H661" s="59"/>
      <c r="I661" s="59"/>
      <c r="J661" s="59"/>
      <c r="K661" s="59"/>
      <c r="L661" s="59"/>
    </row>
    <row r="662">
      <c r="A662" s="59"/>
      <c r="B662" s="59"/>
      <c r="C662" s="59"/>
      <c r="D662" s="59"/>
      <c r="E662" s="59"/>
      <c r="F662" s="59"/>
      <c r="G662" s="59"/>
      <c r="H662" s="59"/>
      <c r="I662" s="59"/>
      <c r="J662" s="59"/>
      <c r="K662" s="59"/>
      <c r="L662" s="59"/>
    </row>
    <row r="663">
      <c r="A663" s="59"/>
      <c r="B663" s="59"/>
      <c r="C663" s="59"/>
      <c r="D663" s="59"/>
      <c r="E663" s="59"/>
      <c r="F663" s="59"/>
      <c r="G663" s="59"/>
      <c r="H663" s="59"/>
      <c r="I663" s="59"/>
      <c r="J663" s="59"/>
      <c r="K663" s="59"/>
      <c r="L663" s="59"/>
    </row>
    <row r="664">
      <c r="A664" s="59"/>
      <c r="B664" s="59"/>
      <c r="C664" s="59"/>
      <c r="D664" s="59"/>
      <c r="E664" s="59"/>
      <c r="F664" s="59"/>
      <c r="G664" s="59"/>
      <c r="H664" s="59"/>
      <c r="I664" s="59"/>
      <c r="J664" s="59"/>
      <c r="K664" s="59"/>
      <c r="L664" s="59"/>
    </row>
    <row r="665">
      <c r="A665" s="59"/>
      <c r="B665" s="59"/>
      <c r="C665" s="59"/>
      <c r="D665" s="59"/>
      <c r="E665" s="59"/>
      <c r="F665" s="59"/>
      <c r="G665" s="59"/>
      <c r="H665" s="59"/>
      <c r="I665" s="59"/>
      <c r="J665" s="59"/>
      <c r="K665" s="59"/>
      <c r="L665" s="59"/>
    </row>
    <row r="666">
      <c r="A666" s="59"/>
      <c r="B666" s="59"/>
      <c r="C666" s="59"/>
      <c r="D666" s="59"/>
      <c r="E666" s="59"/>
      <c r="F666" s="59"/>
      <c r="G666" s="59"/>
      <c r="H666" s="59"/>
      <c r="I666" s="59"/>
      <c r="J666" s="59"/>
      <c r="K666" s="59"/>
      <c r="L666" s="59"/>
    </row>
    <row r="667">
      <c r="A667" s="59"/>
      <c r="B667" s="59"/>
      <c r="C667" s="59"/>
      <c r="D667" s="59"/>
      <c r="E667" s="59"/>
      <c r="F667" s="59"/>
      <c r="G667" s="59"/>
      <c r="H667" s="59"/>
      <c r="I667" s="59"/>
      <c r="J667" s="59"/>
      <c r="K667" s="59"/>
      <c r="L667" s="59"/>
    </row>
    <row r="668">
      <c r="A668" s="59"/>
      <c r="B668" s="59"/>
      <c r="C668" s="59"/>
      <c r="D668" s="59"/>
      <c r="E668" s="59"/>
      <c r="F668" s="59"/>
      <c r="G668" s="59"/>
      <c r="H668" s="59"/>
      <c r="I668" s="59"/>
      <c r="J668" s="59"/>
      <c r="K668" s="59"/>
      <c r="L668" s="59"/>
    </row>
    <row r="669">
      <c r="A669" s="59"/>
      <c r="B669" s="59"/>
      <c r="C669" s="59"/>
      <c r="D669" s="59"/>
      <c r="E669" s="59"/>
      <c r="F669" s="59"/>
      <c r="G669" s="59"/>
      <c r="H669" s="59"/>
      <c r="I669" s="59"/>
      <c r="J669" s="59"/>
      <c r="K669" s="59"/>
      <c r="L669" s="59"/>
    </row>
    <row r="670">
      <c r="A670" s="59"/>
      <c r="B670" s="59"/>
      <c r="C670" s="59"/>
      <c r="D670" s="59"/>
      <c r="E670" s="59"/>
      <c r="F670" s="59"/>
      <c r="G670" s="59"/>
      <c r="H670" s="59"/>
      <c r="I670" s="59"/>
      <c r="J670" s="59"/>
      <c r="K670" s="59"/>
      <c r="L670" s="59"/>
    </row>
    <row r="671">
      <c r="A671" s="59"/>
      <c r="B671" s="59"/>
      <c r="C671" s="59"/>
      <c r="D671" s="59"/>
      <c r="E671" s="59"/>
      <c r="F671" s="59"/>
      <c r="G671" s="59"/>
      <c r="H671" s="59"/>
      <c r="I671" s="59"/>
      <c r="J671" s="59"/>
      <c r="K671" s="59"/>
      <c r="L671" s="59"/>
    </row>
    <row r="672">
      <c r="A672" s="59"/>
      <c r="B672" s="59"/>
      <c r="C672" s="59"/>
      <c r="D672" s="59"/>
      <c r="E672" s="59"/>
      <c r="F672" s="59"/>
      <c r="G672" s="59"/>
      <c r="H672" s="59"/>
      <c r="I672" s="59"/>
      <c r="J672" s="59"/>
      <c r="K672" s="59"/>
      <c r="L672" s="59"/>
    </row>
    <row r="673">
      <c r="A673" s="59"/>
      <c r="B673" s="59"/>
      <c r="C673" s="59"/>
      <c r="D673" s="59"/>
      <c r="E673" s="59"/>
      <c r="F673" s="59"/>
      <c r="G673" s="59"/>
      <c r="H673" s="59"/>
      <c r="I673" s="59"/>
      <c r="J673" s="59"/>
      <c r="K673" s="59"/>
      <c r="L673" s="59"/>
    </row>
    <row r="674">
      <c r="A674" s="59"/>
      <c r="B674" s="59"/>
      <c r="C674" s="59"/>
      <c r="D674" s="59"/>
      <c r="E674" s="59"/>
      <c r="F674" s="59"/>
      <c r="G674" s="59"/>
      <c r="H674" s="59"/>
      <c r="I674" s="59"/>
      <c r="J674" s="59"/>
      <c r="K674" s="59"/>
      <c r="L674" s="59"/>
    </row>
    <row r="675">
      <c r="A675" s="59"/>
      <c r="B675" s="59"/>
      <c r="C675" s="59"/>
      <c r="D675" s="59"/>
      <c r="E675" s="59"/>
      <c r="F675" s="59"/>
      <c r="G675" s="59"/>
      <c r="H675" s="59"/>
      <c r="I675" s="59"/>
      <c r="J675" s="59"/>
      <c r="K675" s="59"/>
      <c r="L675" s="59"/>
    </row>
    <row r="676">
      <c r="A676" s="59"/>
      <c r="B676" s="59"/>
      <c r="C676" s="59"/>
      <c r="D676" s="59"/>
      <c r="E676" s="59"/>
      <c r="F676" s="59"/>
      <c r="G676" s="59"/>
      <c r="H676" s="59"/>
      <c r="I676" s="59"/>
      <c r="J676" s="59"/>
      <c r="K676" s="59"/>
      <c r="L676" s="59"/>
    </row>
    <row r="677">
      <c r="A677" s="59"/>
      <c r="B677" s="59"/>
      <c r="C677" s="59"/>
      <c r="D677" s="59"/>
      <c r="E677" s="59"/>
      <c r="F677" s="59"/>
      <c r="G677" s="59"/>
      <c r="H677" s="59"/>
      <c r="I677" s="59"/>
      <c r="J677" s="59"/>
      <c r="K677" s="59"/>
      <c r="L677" s="59"/>
    </row>
    <row r="678">
      <c r="A678" s="59"/>
      <c r="B678" s="59"/>
      <c r="C678" s="59"/>
      <c r="D678" s="59"/>
      <c r="E678" s="59"/>
      <c r="F678" s="59"/>
      <c r="G678" s="59"/>
      <c r="H678" s="59"/>
      <c r="I678" s="59"/>
      <c r="J678" s="59"/>
      <c r="K678" s="59"/>
      <c r="L678" s="59"/>
    </row>
    <row r="679">
      <c r="A679" s="59"/>
      <c r="B679" s="59"/>
      <c r="C679" s="59"/>
      <c r="D679" s="59"/>
      <c r="E679" s="59"/>
      <c r="F679" s="59"/>
      <c r="G679" s="59"/>
      <c r="H679" s="59"/>
      <c r="I679" s="59"/>
      <c r="J679" s="59"/>
      <c r="K679" s="59"/>
      <c r="L679" s="59"/>
    </row>
    <row r="680">
      <c r="A680" s="59"/>
      <c r="B680" s="59"/>
      <c r="C680" s="59"/>
      <c r="D680" s="59"/>
      <c r="E680" s="59"/>
      <c r="F680" s="59"/>
      <c r="G680" s="59"/>
      <c r="H680" s="59"/>
      <c r="I680" s="59"/>
      <c r="J680" s="59"/>
      <c r="K680" s="59"/>
      <c r="L680" s="59"/>
    </row>
    <row r="681">
      <c r="A681" s="59"/>
      <c r="B681" s="59"/>
      <c r="C681" s="59"/>
      <c r="D681" s="59"/>
      <c r="E681" s="59"/>
      <c r="F681" s="59"/>
      <c r="G681" s="59"/>
      <c r="H681" s="59"/>
      <c r="I681" s="59"/>
      <c r="J681" s="59"/>
      <c r="K681" s="59"/>
      <c r="L681" s="59"/>
    </row>
    <row r="682">
      <c r="A682" s="59"/>
      <c r="B682" s="59"/>
      <c r="C682" s="59"/>
      <c r="D682" s="59"/>
      <c r="E682" s="59"/>
      <c r="F682" s="59"/>
      <c r="G682" s="59"/>
      <c r="H682" s="59"/>
      <c r="I682" s="59"/>
      <c r="J682" s="59"/>
      <c r="K682" s="59"/>
      <c r="L682" s="59"/>
    </row>
    <row r="683">
      <c r="A683" s="59"/>
      <c r="B683" s="59"/>
      <c r="C683" s="59"/>
      <c r="D683" s="59"/>
      <c r="E683" s="59"/>
      <c r="F683" s="59"/>
      <c r="G683" s="59"/>
      <c r="H683" s="59"/>
      <c r="I683" s="59"/>
      <c r="J683" s="59"/>
      <c r="K683" s="59"/>
      <c r="L683" s="59"/>
    </row>
    <row r="684">
      <c r="A684" s="59"/>
      <c r="B684" s="59"/>
      <c r="C684" s="59"/>
      <c r="D684" s="59"/>
      <c r="E684" s="59"/>
      <c r="F684" s="59"/>
      <c r="G684" s="59"/>
      <c r="H684" s="59"/>
      <c r="I684" s="59"/>
      <c r="J684" s="59"/>
      <c r="K684" s="59"/>
      <c r="L684" s="59"/>
    </row>
    <row r="685">
      <c r="A685" s="59"/>
      <c r="B685" s="59"/>
      <c r="C685" s="59"/>
      <c r="D685" s="59"/>
      <c r="E685" s="59"/>
      <c r="F685" s="59"/>
      <c r="G685" s="59"/>
      <c r="H685" s="59"/>
      <c r="I685" s="59"/>
      <c r="J685" s="59"/>
      <c r="K685" s="59"/>
      <c r="L685" s="59"/>
    </row>
    <row r="686">
      <c r="A686" s="59"/>
      <c r="B686" s="59"/>
      <c r="C686" s="59"/>
      <c r="D686" s="59"/>
      <c r="E686" s="59"/>
      <c r="F686" s="59"/>
      <c r="G686" s="59"/>
      <c r="H686" s="59"/>
      <c r="I686" s="59"/>
      <c r="J686" s="59"/>
      <c r="K686" s="59"/>
      <c r="L686" s="59"/>
    </row>
    <row r="687">
      <c r="A687" s="59"/>
      <c r="B687" s="59"/>
      <c r="C687" s="59"/>
      <c r="D687" s="59"/>
      <c r="E687" s="59"/>
      <c r="F687" s="59"/>
      <c r="G687" s="59"/>
      <c r="H687" s="59"/>
      <c r="I687" s="59"/>
      <c r="J687" s="59"/>
      <c r="K687" s="59"/>
      <c r="L687" s="59"/>
    </row>
    <row r="688">
      <c r="A688" s="59"/>
      <c r="B688" s="59"/>
      <c r="C688" s="59"/>
      <c r="D688" s="59"/>
      <c r="E688" s="59"/>
      <c r="F688" s="59"/>
      <c r="G688" s="59"/>
      <c r="H688" s="59"/>
      <c r="I688" s="59"/>
      <c r="J688" s="59"/>
      <c r="K688" s="59"/>
      <c r="L688" s="59"/>
    </row>
    <row r="689">
      <c r="A689" s="59"/>
      <c r="B689" s="59"/>
      <c r="C689" s="59"/>
      <c r="D689" s="59"/>
      <c r="E689" s="59"/>
      <c r="F689" s="59"/>
      <c r="G689" s="59"/>
      <c r="H689" s="59"/>
      <c r="I689" s="59"/>
      <c r="J689" s="59"/>
      <c r="K689" s="59"/>
      <c r="L689" s="59"/>
    </row>
    <row r="690">
      <c r="A690" s="59"/>
      <c r="B690" s="59"/>
      <c r="C690" s="59"/>
      <c r="D690" s="59"/>
      <c r="E690" s="59"/>
      <c r="F690" s="59"/>
      <c r="G690" s="59"/>
      <c r="H690" s="59"/>
      <c r="I690" s="59"/>
      <c r="J690" s="59"/>
      <c r="K690" s="59"/>
      <c r="L690" s="59"/>
    </row>
    <row r="691">
      <c r="A691" s="59"/>
      <c r="B691" s="59"/>
      <c r="C691" s="59"/>
      <c r="D691" s="59"/>
      <c r="E691" s="59"/>
      <c r="F691" s="59"/>
      <c r="G691" s="59"/>
      <c r="H691" s="59"/>
      <c r="I691" s="59"/>
      <c r="J691" s="59"/>
      <c r="K691" s="59"/>
      <c r="L691" s="59"/>
    </row>
    <row r="692">
      <c r="A692" s="59"/>
      <c r="B692" s="59"/>
      <c r="C692" s="59"/>
      <c r="D692" s="59"/>
      <c r="E692" s="59"/>
      <c r="F692" s="59"/>
      <c r="G692" s="59"/>
      <c r="H692" s="59"/>
      <c r="I692" s="59"/>
      <c r="J692" s="59"/>
      <c r="K692" s="59"/>
      <c r="L692" s="59"/>
    </row>
    <row r="693">
      <c r="A693" s="59"/>
      <c r="B693" s="59"/>
      <c r="C693" s="59"/>
      <c r="D693" s="59"/>
      <c r="E693" s="59"/>
      <c r="F693" s="59"/>
      <c r="G693" s="59"/>
      <c r="H693" s="59"/>
      <c r="I693" s="59"/>
      <c r="J693" s="59"/>
      <c r="K693" s="59"/>
      <c r="L693" s="59"/>
    </row>
    <row r="694">
      <c r="A694" s="59"/>
      <c r="B694" s="59"/>
      <c r="C694" s="59"/>
      <c r="D694" s="59"/>
      <c r="E694" s="59"/>
      <c r="F694" s="59"/>
      <c r="G694" s="59"/>
      <c r="H694" s="59"/>
      <c r="I694" s="59"/>
      <c r="J694" s="59"/>
      <c r="K694" s="59"/>
      <c r="L694" s="59"/>
    </row>
    <row r="695">
      <c r="A695" s="59"/>
      <c r="B695" s="59"/>
      <c r="C695" s="59"/>
      <c r="D695" s="59"/>
      <c r="E695" s="59"/>
      <c r="F695" s="59"/>
      <c r="G695" s="59"/>
      <c r="H695" s="59"/>
      <c r="I695" s="59"/>
      <c r="J695" s="59"/>
      <c r="K695" s="59"/>
      <c r="L695" s="59"/>
    </row>
    <row r="696">
      <c r="A696" s="59"/>
      <c r="B696" s="59"/>
      <c r="C696" s="59"/>
      <c r="D696" s="59"/>
      <c r="E696" s="59"/>
      <c r="F696" s="59"/>
      <c r="G696" s="59"/>
      <c r="H696" s="59"/>
      <c r="I696" s="59"/>
      <c r="J696" s="59"/>
      <c r="K696" s="59"/>
      <c r="L696" s="59"/>
    </row>
    <row r="697">
      <c r="A697" s="59"/>
      <c r="B697" s="59"/>
      <c r="C697" s="59"/>
      <c r="D697" s="59"/>
      <c r="E697" s="59"/>
      <c r="F697" s="59"/>
      <c r="G697" s="59"/>
      <c r="H697" s="59"/>
      <c r="I697" s="59"/>
      <c r="J697" s="59"/>
      <c r="K697" s="59"/>
      <c r="L697" s="59"/>
    </row>
    <row r="698">
      <c r="A698" s="59"/>
      <c r="B698" s="59"/>
      <c r="C698" s="59"/>
      <c r="D698" s="59"/>
      <c r="E698" s="59"/>
      <c r="F698" s="59"/>
      <c r="G698" s="59"/>
      <c r="H698" s="59"/>
      <c r="I698" s="59"/>
      <c r="J698" s="59"/>
      <c r="K698" s="59"/>
      <c r="L698" s="59"/>
    </row>
    <row r="699">
      <c r="A699" s="59"/>
      <c r="B699" s="59"/>
      <c r="C699" s="59"/>
      <c r="D699" s="59"/>
      <c r="E699" s="59"/>
      <c r="F699" s="59"/>
      <c r="G699" s="59"/>
      <c r="H699" s="59"/>
      <c r="I699" s="59"/>
      <c r="J699" s="59"/>
      <c r="K699" s="59"/>
      <c r="L699" s="59"/>
    </row>
    <row r="700">
      <c r="A700" s="59"/>
      <c r="B700" s="59"/>
      <c r="C700" s="59"/>
      <c r="D700" s="59"/>
      <c r="E700" s="59"/>
      <c r="F700" s="59"/>
      <c r="G700" s="59"/>
      <c r="H700" s="59"/>
      <c r="I700" s="59"/>
      <c r="J700" s="59"/>
      <c r="K700" s="59"/>
      <c r="L700" s="59"/>
    </row>
    <row r="701">
      <c r="A701" s="59"/>
      <c r="B701" s="59"/>
      <c r="C701" s="59"/>
      <c r="D701" s="59"/>
      <c r="E701" s="59"/>
      <c r="F701" s="59"/>
      <c r="G701" s="59"/>
      <c r="H701" s="59"/>
      <c r="I701" s="59"/>
      <c r="J701" s="59"/>
      <c r="K701" s="59"/>
      <c r="L701" s="59"/>
    </row>
    <row r="702">
      <c r="A702" s="59"/>
      <c r="B702" s="59"/>
      <c r="C702" s="59"/>
      <c r="D702" s="59"/>
      <c r="E702" s="59"/>
      <c r="F702" s="59"/>
      <c r="G702" s="59"/>
      <c r="H702" s="59"/>
      <c r="I702" s="59"/>
      <c r="J702" s="59"/>
      <c r="K702" s="59"/>
      <c r="L702" s="59"/>
    </row>
    <row r="703">
      <c r="A703" s="59"/>
      <c r="B703" s="59"/>
      <c r="C703" s="59"/>
      <c r="D703" s="59"/>
      <c r="E703" s="59"/>
      <c r="F703" s="59"/>
      <c r="G703" s="59"/>
      <c r="H703" s="59"/>
      <c r="I703" s="59"/>
      <c r="J703" s="59"/>
      <c r="K703" s="59"/>
      <c r="L703" s="59"/>
    </row>
    <row r="704">
      <c r="A704" s="59"/>
      <c r="B704" s="59"/>
      <c r="C704" s="59"/>
      <c r="D704" s="59"/>
      <c r="E704" s="59"/>
      <c r="F704" s="59"/>
      <c r="G704" s="59"/>
      <c r="H704" s="59"/>
      <c r="I704" s="59"/>
      <c r="J704" s="59"/>
      <c r="K704" s="59"/>
      <c r="L704" s="59"/>
    </row>
    <row r="705">
      <c r="A705" s="59"/>
      <c r="B705" s="59"/>
      <c r="C705" s="59"/>
      <c r="D705" s="59"/>
      <c r="E705" s="59"/>
      <c r="F705" s="59"/>
      <c r="G705" s="59"/>
      <c r="H705" s="59"/>
      <c r="I705" s="59"/>
      <c r="J705" s="59"/>
      <c r="K705" s="59"/>
      <c r="L705" s="59"/>
    </row>
    <row r="706">
      <c r="A706" s="59"/>
      <c r="B706" s="59"/>
      <c r="C706" s="59"/>
      <c r="D706" s="59"/>
      <c r="E706" s="59"/>
      <c r="F706" s="59"/>
      <c r="G706" s="59"/>
      <c r="H706" s="59"/>
      <c r="I706" s="59"/>
      <c r="J706" s="59"/>
      <c r="K706" s="59"/>
      <c r="L706" s="59"/>
    </row>
    <row r="707">
      <c r="A707" s="59"/>
      <c r="B707" s="59"/>
      <c r="C707" s="59"/>
      <c r="D707" s="59"/>
      <c r="E707" s="59"/>
      <c r="F707" s="59"/>
      <c r="G707" s="59"/>
      <c r="H707" s="59"/>
      <c r="I707" s="59"/>
      <c r="J707" s="59"/>
      <c r="K707" s="59"/>
      <c r="L707" s="59"/>
    </row>
    <row r="708">
      <c r="A708" s="59"/>
      <c r="B708" s="59"/>
      <c r="C708" s="59"/>
      <c r="D708" s="59"/>
      <c r="E708" s="59"/>
      <c r="F708" s="59"/>
      <c r="G708" s="59"/>
      <c r="H708" s="59"/>
      <c r="I708" s="59"/>
      <c r="J708" s="59"/>
      <c r="K708" s="59"/>
      <c r="L708" s="59"/>
    </row>
    <row r="709">
      <c r="A709" s="59"/>
      <c r="B709" s="59"/>
      <c r="C709" s="59"/>
      <c r="D709" s="59"/>
      <c r="E709" s="59"/>
      <c r="F709" s="59"/>
      <c r="G709" s="59"/>
      <c r="H709" s="59"/>
      <c r="I709" s="59"/>
      <c r="J709" s="59"/>
      <c r="K709" s="59"/>
      <c r="L709" s="59"/>
    </row>
    <row r="710">
      <c r="A710" s="59"/>
      <c r="B710" s="59"/>
      <c r="C710" s="59"/>
      <c r="D710" s="59"/>
      <c r="E710" s="59"/>
      <c r="F710" s="59"/>
      <c r="G710" s="59"/>
      <c r="H710" s="59"/>
      <c r="I710" s="59"/>
      <c r="J710" s="59"/>
      <c r="K710" s="59"/>
      <c r="L710" s="59"/>
    </row>
    <row r="711">
      <c r="A711" s="59"/>
      <c r="B711" s="59"/>
      <c r="C711" s="59"/>
      <c r="D711" s="59"/>
      <c r="E711" s="59"/>
      <c r="F711" s="59"/>
      <c r="G711" s="59"/>
      <c r="H711" s="59"/>
      <c r="I711" s="59"/>
      <c r="J711" s="59"/>
      <c r="K711" s="59"/>
      <c r="L711" s="59"/>
    </row>
    <row r="712">
      <c r="A712" s="59"/>
      <c r="B712" s="59"/>
      <c r="C712" s="59"/>
      <c r="D712" s="59"/>
      <c r="E712" s="59"/>
      <c r="F712" s="59"/>
      <c r="G712" s="59"/>
      <c r="H712" s="59"/>
      <c r="I712" s="59"/>
      <c r="J712" s="59"/>
      <c r="K712" s="59"/>
      <c r="L712" s="59"/>
    </row>
    <row r="713">
      <c r="A713" s="59"/>
      <c r="B713" s="59"/>
      <c r="C713" s="59"/>
      <c r="D713" s="59"/>
      <c r="E713" s="59"/>
      <c r="F713" s="59"/>
      <c r="G713" s="59"/>
      <c r="H713" s="59"/>
      <c r="I713" s="59"/>
      <c r="J713" s="59"/>
      <c r="K713" s="59"/>
      <c r="L713" s="59"/>
    </row>
    <row r="714">
      <c r="A714" s="59"/>
      <c r="B714" s="59"/>
      <c r="C714" s="59"/>
      <c r="D714" s="59"/>
      <c r="E714" s="59"/>
      <c r="F714" s="59"/>
      <c r="G714" s="59"/>
      <c r="H714" s="59"/>
      <c r="I714" s="59"/>
      <c r="J714" s="59"/>
      <c r="K714" s="59"/>
      <c r="L714" s="59"/>
    </row>
    <row r="715">
      <c r="A715" s="59"/>
      <c r="B715" s="59"/>
      <c r="C715" s="59"/>
      <c r="D715" s="59"/>
      <c r="E715" s="59"/>
      <c r="F715" s="59"/>
      <c r="G715" s="59"/>
      <c r="H715" s="59"/>
      <c r="I715" s="59"/>
      <c r="J715" s="59"/>
      <c r="K715" s="59"/>
      <c r="L715" s="59"/>
    </row>
    <row r="716">
      <c r="A716" s="59"/>
      <c r="B716" s="59"/>
      <c r="C716" s="59"/>
      <c r="D716" s="59"/>
      <c r="E716" s="59"/>
      <c r="F716" s="59"/>
      <c r="G716" s="59"/>
      <c r="H716" s="59"/>
      <c r="I716" s="59"/>
      <c r="J716" s="59"/>
      <c r="K716" s="59"/>
      <c r="L716" s="59"/>
    </row>
    <row r="717">
      <c r="A717" s="59"/>
      <c r="B717" s="59"/>
      <c r="C717" s="59"/>
      <c r="D717" s="59"/>
      <c r="E717" s="59"/>
      <c r="F717" s="59"/>
      <c r="G717" s="59"/>
      <c r="H717" s="59"/>
      <c r="I717" s="59"/>
      <c r="J717" s="59"/>
      <c r="K717" s="59"/>
      <c r="L717" s="59"/>
    </row>
    <row r="718">
      <c r="A718" s="59"/>
      <c r="B718" s="59"/>
      <c r="C718" s="59"/>
      <c r="D718" s="59"/>
      <c r="E718" s="59"/>
      <c r="F718" s="59"/>
      <c r="G718" s="59"/>
      <c r="H718" s="59"/>
      <c r="I718" s="59"/>
      <c r="J718" s="59"/>
      <c r="K718" s="59"/>
      <c r="L718" s="59"/>
    </row>
    <row r="719">
      <c r="A719" s="59"/>
      <c r="B719" s="59"/>
      <c r="C719" s="59"/>
      <c r="D719" s="59"/>
      <c r="E719" s="59"/>
      <c r="F719" s="59"/>
      <c r="G719" s="59"/>
      <c r="H719" s="59"/>
      <c r="I719" s="59"/>
      <c r="J719" s="59"/>
      <c r="K719" s="59"/>
      <c r="L719" s="59"/>
    </row>
    <row r="720">
      <c r="A720" s="59"/>
      <c r="B720" s="59"/>
      <c r="C720" s="59"/>
      <c r="D720" s="59"/>
      <c r="E720" s="59"/>
      <c r="F720" s="59"/>
      <c r="G720" s="59"/>
      <c r="H720" s="59"/>
      <c r="I720" s="59"/>
      <c r="J720" s="59"/>
      <c r="K720" s="59"/>
      <c r="L720" s="59"/>
    </row>
    <row r="721">
      <c r="A721" s="59"/>
      <c r="B721" s="59"/>
      <c r="C721" s="59"/>
      <c r="D721" s="59"/>
      <c r="E721" s="59"/>
      <c r="F721" s="59"/>
      <c r="G721" s="59"/>
      <c r="H721" s="59"/>
      <c r="I721" s="59"/>
      <c r="J721" s="59"/>
      <c r="K721" s="59"/>
      <c r="L721" s="59"/>
    </row>
    <row r="722">
      <c r="A722" s="59"/>
      <c r="B722" s="59"/>
      <c r="C722" s="59"/>
      <c r="D722" s="59"/>
      <c r="E722" s="59"/>
      <c r="F722" s="59"/>
      <c r="G722" s="59"/>
      <c r="H722" s="59"/>
      <c r="I722" s="59"/>
      <c r="J722" s="59"/>
      <c r="K722" s="59"/>
      <c r="L722" s="59"/>
    </row>
    <row r="723">
      <c r="A723" s="59"/>
      <c r="B723" s="59"/>
      <c r="C723" s="59"/>
      <c r="D723" s="59"/>
      <c r="E723" s="59"/>
      <c r="F723" s="59"/>
      <c r="G723" s="59"/>
      <c r="H723" s="59"/>
      <c r="I723" s="59"/>
      <c r="J723" s="59"/>
      <c r="K723" s="59"/>
      <c r="L723" s="59"/>
    </row>
    <row r="724">
      <c r="A724" s="59"/>
      <c r="B724" s="59"/>
      <c r="C724" s="59"/>
      <c r="D724" s="59"/>
      <c r="E724" s="59"/>
      <c r="F724" s="59"/>
      <c r="G724" s="59"/>
      <c r="H724" s="59"/>
      <c r="I724" s="59"/>
      <c r="J724" s="59"/>
      <c r="K724" s="59"/>
      <c r="L724" s="59"/>
    </row>
    <row r="725">
      <c r="A725" s="59"/>
      <c r="B725" s="59"/>
      <c r="C725" s="59"/>
      <c r="D725" s="59"/>
      <c r="E725" s="59"/>
      <c r="F725" s="59"/>
      <c r="G725" s="59"/>
      <c r="H725" s="59"/>
      <c r="I725" s="59"/>
      <c r="J725" s="59"/>
      <c r="K725" s="59"/>
      <c r="L725" s="59"/>
    </row>
    <row r="726">
      <c r="A726" s="59"/>
      <c r="B726" s="59"/>
      <c r="C726" s="59"/>
      <c r="D726" s="59"/>
      <c r="E726" s="59"/>
      <c r="F726" s="59"/>
      <c r="G726" s="59"/>
      <c r="H726" s="59"/>
      <c r="I726" s="59"/>
      <c r="J726" s="59"/>
      <c r="K726" s="59"/>
      <c r="L726" s="59"/>
    </row>
    <row r="727">
      <c r="A727" s="59"/>
      <c r="B727" s="59"/>
      <c r="C727" s="59"/>
      <c r="D727" s="59"/>
      <c r="E727" s="59"/>
      <c r="F727" s="59"/>
      <c r="G727" s="59"/>
      <c r="H727" s="59"/>
      <c r="I727" s="59"/>
      <c r="J727" s="59"/>
      <c r="K727" s="59"/>
      <c r="L727" s="59"/>
    </row>
    <row r="728">
      <c r="A728" s="59"/>
      <c r="B728" s="59"/>
      <c r="C728" s="59"/>
      <c r="D728" s="59"/>
      <c r="E728" s="59"/>
      <c r="F728" s="59"/>
      <c r="G728" s="59"/>
      <c r="H728" s="59"/>
      <c r="I728" s="59"/>
      <c r="J728" s="59"/>
      <c r="K728" s="59"/>
      <c r="L728" s="59"/>
    </row>
    <row r="729">
      <c r="A729" s="59"/>
      <c r="B729" s="59"/>
      <c r="C729" s="59"/>
      <c r="D729" s="59"/>
      <c r="E729" s="59"/>
      <c r="F729" s="59"/>
      <c r="G729" s="59"/>
      <c r="H729" s="59"/>
      <c r="I729" s="59"/>
      <c r="J729" s="59"/>
      <c r="K729" s="59"/>
      <c r="L729" s="59"/>
    </row>
    <row r="730">
      <c r="A730" s="59"/>
      <c r="B730" s="59"/>
      <c r="C730" s="59"/>
      <c r="D730" s="59"/>
      <c r="E730" s="59"/>
      <c r="F730" s="59"/>
      <c r="G730" s="59"/>
      <c r="H730" s="59"/>
      <c r="I730" s="59"/>
      <c r="J730" s="59"/>
      <c r="K730" s="59"/>
      <c r="L730" s="59"/>
    </row>
    <row r="731">
      <c r="A731" s="59"/>
      <c r="B731" s="59"/>
      <c r="C731" s="59"/>
      <c r="D731" s="59"/>
      <c r="E731" s="59"/>
      <c r="F731" s="59"/>
      <c r="G731" s="59"/>
      <c r="H731" s="59"/>
      <c r="I731" s="59"/>
      <c r="J731" s="59"/>
      <c r="K731" s="59"/>
      <c r="L731" s="59"/>
    </row>
    <row r="732">
      <c r="A732" s="59"/>
      <c r="B732" s="59"/>
      <c r="C732" s="59"/>
      <c r="D732" s="59"/>
      <c r="E732" s="59"/>
      <c r="F732" s="59"/>
      <c r="G732" s="59"/>
      <c r="H732" s="59"/>
      <c r="I732" s="59"/>
      <c r="J732" s="59"/>
      <c r="K732" s="59"/>
      <c r="L732" s="59"/>
    </row>
    <row r="733">
      <c r="A733" s="59"/>
      <c r="B733" s="59"/>
      <c r="C733" s="59"/>
      <c r="D733" s="59"/>
      <c r="E733" s="59"/>
      <c r="F733" s="59"/>
      <c r="G733" s="59"/>
      <c r="H733" s="59"/>
      <c r="I733" s="59"/>
      <c r="J733" s="59"/>
      <c r="K733" s="59"/>
      <c r="L733" s="59"/>
    </row>
    <row r="734">
      <c r="A734" s="59"/>
      <c r="B734" s="59"/>
      <c r="C734" s="59"/>
      <c r="D734" s="59"/>
      <c r="E734" s="59"/>
      <c r="F734" s="59"/>
      <c r="G734" s="59"/>
      <c r="H734" s="59"/>
      <c r="I734" s="59"/>
      <c r="J734" s="59"/>
      <c r="K734" s="59"/>
      <c r="L734" s="59"/>
    </row>
    <row r="735">
      <c r="A735" s="59"/>
      <c r="B735" s="59"/>
      <c r="C735" s="59"/>
      <c r="D735" s="59"/>
      <c r="E735" s="59"/>
      <c r="F735" s="59"/>
      <c r="G735" s="59"/>
      <c r="H735" s="59"/>
      <c r="I735" s="59"/>
      <c r="J735" s="59"/>
      <c r="K735" s="59"/>
      <c r="L735" s="59"/>
    </row>
    <row r="736">
      <c r="A736" s="59"/>
      <c r="B736" s="59"/>
      <c r="C736" s="59"/>
      <c r="D736" s="59"/>
      <c r="E736" s="59"/>
      <c r="F736" s="59"/>
      <c r="G736" s="59"/>
      <c r="H736" s="59"/>
      <c r="I736" s="59"/>
      <c r="J736" s="59"/>
      <c r="K736" s="59"/>
      <c r="L736" s="59"/>
    </row>
    <row r="737">
      <c r="A737" s="59"/>
      <c r="B737" s="59"/>
      <c r="C737" s="59"/>
      <c r="D737" s="59"/>
      <c r="E737" s="59"/>
      <c r="F737" s="59"/>
      <c r="G737" s="59"/>
      <c r="H737" s="59"/>
      <c r="I737" s="59"/>
      <c r="J737" s="59"/>
      <c r="K737" s="59"/>
      <c r="L737" s="59"/>
    </row>
    <row r="738">
      <c r="A738" s="59"/>
      <c r="B738" s="59"/>
      <c r="C738" s="59"/>
      <c r="D738" s="59"/>
      <c r="E738" s="59"/>
      <c r="F738" s="59"/>
      <c r="G738" s="59"/>
      <c r="H738" s="59"/>
      <c r="I738" s="59"/>
      <c r="J738" s="59"/>
      <c r="K738" s="59"/>
      <c r="L738" s="59"/>
    </row>
    <row r="739">
      <c r="A739" s="59"/>
      <c r="B739" s="59"/>
      <c r="C739" s="59"/>
      <c r="D739" s="59"/>
      <c r="E739" s="59"/>
      <c r="F739" s="59"/>
      <c r="G739" s="59"/>
      <c r="H739" s="59"/>
      <c r="I739" s="59"/>
      <c r="J739" s="59"/>
      <c r="K739" s="59"/>
      <c r="L739" s="59"/>
    </row>
    <row r="740">
      <c r="A740" s="59"/>
      <c r="B740" s="59"/>
      <c r="C740" s="59"/>
      <c r="D740" s="59"/>
      <c r="E740" s="59"/>
      <c r="F740" s="59"/>
      <c r="G740" s="59"/>
      <c r="H740" s="59"/>
      <c r="I740" s="59"/>
      <c r="J740" s="59"/>
      <c r="K740" s="59"/>
      <c r="L740" s="59"/>
    </row>
    <row r="741">
      <c r="A741" s="59"/>
      <c r="B741" s="59"/>
      <c r="C741" s="59"/>
      <c r="D741" s="59"/>
      <c r="E741" s="59"/>
      <c r="F741" s="59"/>
      <c r="G741" s="59"/>
      <c r="H741" s="59"/>
      <c r="I741" s="59"/>
      <c r="J741" s="59"/>
      <c r="K741" s="59"/>
      <c r="L741" s="59"/>
    </row>
    <row r="742">
      <c r="A742" s="59"/>
      <c r="B742" s="59"/>
      <c r="C742" s="59"/>
      <c r="D742" s="59"/>
      <c r="E742" s="59"/>
      <c r="F742" s="59"/>
      <c r="G742" s="59"/>
      <c r="H742" s="59"/>
      <c r="I742" s="59"/>
      <c r="J742" s="59"/>
      <c r="K742" s="59"/>
      <c r="L742" s="59"/>
    </row>
    <row r="743">
      <c r="A743" s="59"/>
      <c r="B743" s="59"/>
      <c r="C743" s="59"/>
      <c r="D743" s="59"/>
      <c r="E743" s="59"/>
      <c r="F743" s="59"/>
      <c r="G743" s="59"/>
      <c r="H743" s="59"/>
      <c r="I743" s="59"/>
      <c r="J743" s="59"/>
      <c r="K743" s="59"/>
      <c r="L743" s="59"/>
    </row>
    <row r="744">
      <c r="A744" s="59"/>
      <c r="B744" s="59"/>
      <c r="C744" s="59"/>
      <c r="D744" s="59"/>
      <c r="E744" s="59"/>
      <c r="F744" s="59"/>
      <c r="G744" s="59"/>
      <c r="H744" s="59"/>
      <c r="I744" s="59"/>
      <c r="J744" s="59"/>
      <c r="K744" s="59"/>
      <c r="L744" s="59"/>
    </row>
    <row r="745">
      <c r="A745" s="59"/>
      <c r="B745" s="59"/>
      <c r="C745" s="59"/>
      <c r="D745" s="59"/>
      <c r="E745" s="59"/>
      <c r="F745" s="59"/>
      <c r="G745" s="59"/>
      <c r="H745" s="59"/>
      <c r="I745" s="59"/>
      <c r="J745" s="59"/>
      <c r="K745" s="59"/>
      <c r="L745" s="59"/>
    </row>
    <row r="746">
      <c r="A746" s="59"/>
      <c r="B746" s="59"/>
      <c r="C746" s="59"/>
      <c r="D746" s="59"/>
      <c r="E746" s="59"/>
      <c r="F746" s="59"/>
      <c r="G746" s="59"/>
      <c r="H746" s="59"/>
      <c r="I746" s="59"/>
      <c r="J746" s="59"/>
      <c r="K746" s="59"/>
      <c r="L746" s="59"/>
    </row>
    <row r="747">
      <c r="A747" s="59"/>
      <c r="B747" s="59"/>
      <c r="C747" s="59"/>
      <c r="D747" s="59"/>
      <c r="E747" s="59"/>
      <c r="F747" s="59"/>
      <c r="G747" s="59"/>
      <c r="H747" s="59"/>
      <c r="I747" s="59"/>
      <c r="J747" s="59"/>
      <c r="K747" s="59"/>
      <c r="L747" s="59"/>
    </row>
    <row r="748">
      <c r="A748" s="59"/>
      <c r="B748" s="59"/>
      <c r="C748" s="59"/>
      <c r="D748" s="59"/>
      <c r="E748" s="59"/>
      <c r="F748" s="59"/>
      <c r="G748" s="59"/>
      <c r="H748" s="59"/>
      <c r="I748" s="59"/>
      <c r="J748" s="59"/>
      <c r="K748" s="59"/>
      <c r="L748" s="59"/>
    </row>
    <row r="749">
      <c r="A749" s="59"/>
      <c r="B749" s="59"/>
      <c r="C749" s="59"/>
      <c r="D749" s="59"/>
      <c r="E749" s="59"/>
      <c r="F749" s="59"/>
      <c r="G749" s="59"/>
      <c r="H749" s="59"/>
      <c r="I749" s="59"/>
      <c r="J749" s="59"/>
      <c r="K749" s="59"/>
      <c r="L749" s="59"/>
    </row>
    <row r="750">
      <c r="A750" s="59"/>
      <c r="B750" s="59"/>
      <c r="C750" s="59"/>
      <c r="D750" s="59"/>
      <c r="E750" s="59"/>
      <c r="F750" s="59"/>
      <c r="G750" s="59"/>
      <c r="H750" s="59"/>
      <c r="I750" s="59"/>
      <c r="J750" s="59"/>
      <c r="K750" s="59"/>
      <c r="L750" s="59"/>
    </row>
    <row r="751">
      <c r="A751" s="59"/>
      <c r="B751" s="59"/>
      <c r="C751" s="59"/>
      <c r="D751" s="59"/>
      <c r="E751" s="59"/>
      <c r="F751" s="59"/>
      <c r="G751" s="59"/>
      <c r="H751" s="59"/>
      <c r="I751" s="59"/>
      <c r="J751" s="59"/>
      <c r="K751" s="59"/>
      <c r="L751" s="59"/>
    </row>
    <row r="752">
      <c r="A752" s="59"/>
      <c r="B752" s="59"/>
      <c r="C752" s="59"/>
      <c r="D752" s="59"/>
      <c r="E752" s="59"/>
      <c r="F752" s="59"/>
      <c r="G752" s="59"/>
      <c r="H752" s="59"/>
      <c r="I752" s="59"/>
      <c r="J752" s="59"/>
      <c r="K752" s="59"/>
      <c r="L752" s="59"/>
    </row>
    <row r="753">
      <c r="A753" s="59"/>
      <c r="B753" s="59"/>
      <c r="C753" s="59"/>
      <c r="D753" s="59"/>
      <c r="E753" s="59"/>
      <c r="F753" s="59"/>
      <c r="G753" s="59"/>
      <c r="H753" s="59"/>
      <c r="I753" s="59"/>
      <c r="J753" s="59"/>
      <c r="K753" s="59"/>
      <c r="L753" s="59"/>
    </row>
    <row r="754">
      <c r="A754" s="59"/>
      <c r="B754" s="59"/>
      <c r="C754" s="59"/>
      <c r="D754" s="59"/>
      <c r="E754" s="59"/>
      <c r="F754" s="59"/>
      <c r="G754" s="59"/>
      <c r="H754" s="59"/>
      <c r="I754" s="59"/>
      <c r="J754" s="59"/>
      <c r="K754" s="59"/>
      <c r="L754" s="59"/>
    </row>
    <row r="755">
      <c r="A755" s="59"/>
      <c r="B755" s="59"/>
      <c r="C755" s="59"/>
      <c r="D755" s="59"/>
      <c r="E755" s="59"/>
      <c r="F755" s="59"/>
      <c r="G755" s="59"/>
      <c r="H755" s="59"/>
      <c r="I755" s="59"/>
      <c r="J755" s="59"/>
      <c r="K755" s="59"/>
      <c r="L755" s="59"/>
    </row>
    <row r="756">
      <c r="A756" s="59"/>
      <c r="B756" s="59"/>
      <c r="C756" s="59"/>
      <c r="D756" s="59"/>
      <c r="E756" s="59"/>
      <c r="F756" s="59"/>
      <c r="G756" s="59"/>
      <c r="H756" s="59"/>
      <c r="I756" s="59"/>
      <c r="J756" s="59"/>
      <c r="K756" s="59"/>
      <c r="L756" s="59"/>
    </row>
    <row r="757">
      <c r="A757" s="59"/>
      <c r="B757" s="59"/>
      <c r="C757" s="59"/>
      <c r="D757" s="59"/>
      <c r="E757" s="59"/>
      <c r="F757" s="59"/>
      <c r="G757" s="59"/>
      <c r="H757" s="59"/>
      <c r="I757" s="59"/>
      <c r="J757" s="59"/>
      <c r="K757" s="59"/>
      <c r="L757" s="59"/>
    </row>
    <row r="758">
      <c r="A758" s="59"/>
      <c r="B758" s="59"/>
      <c r="C758" s="59"/>
      <c r="D758" s="59"/>
      <c r="E758" s="59"/>
      <c r="F758" s="59"/>
      <c r="G758" s="59"/>
      <c r="H758" s="59"/>
      <c r="I758" s="59"/>
      <c r="J758" s="59"/>
      <c r="K758" s="59"/>
      <c r="L758" s="59"/>
    </row>
    <row r="759">
      <c r="A759" s="59"/>
      <c r="B759" s="59"/>
      <c r="C759" s="59"/>
      <c r="D759" s="59"/>
      <c r="E759" s="59"/>
      <c r="F759" s="59"/>
      <c r="G759" s="59"/>
      <c r="H759" s="59"/>
      <c r="I759" s="59"/>
      <c r="J759" s="59"/>
      <c r="K759" s="59"/>
      <c r="L759" s="59"/>
    </row>
    <row r="760">
      <c r="A760" s="59"/>
      <c r="B760" s="59"/>
      <c r="C760" s="59"/>
      <c r="D760" s="59"/>
      <c r="E760" s="59"/>
      <c r="F760" s="59"/>
      <c r="G760" s="59"/>
      <c r="H760" s="59"/>
      <c r="I760" s="59"/>
      <c r="J760" s="59"/>
      <c r="K760" s="59"/>
      <c r="L760" s="59"/>
    </row>
    <row r="761">
      <c r="A761" s="59"/>
      <c r="B761" s="59"/>
      <c r="C761" s="59"/>
      <c r="D761" s="59"/>
      <c r="E761" s="59"/>
      <c r="F761" s="59"/>
      <c r="G761" s="59"/>
      <c r="H761" s="59"/>
      <c r="I761" s="59"/>
      <c r="J761" s="59"/>
      <c r="K761" s="59"/>
      <c r="L761" s="59"/>
    </row>
    <row r="762">
      <c r="A762" s="59"/>
      <c r="B762" s="59"/>
      <c r="C762" s="59"/>
      <c r="D762" s="59"/>
      <c r="E762" s="59"/>
      <c r="F762" s="59"/>
      <c r="G762" s="59"/>
      <c r="H762" s="59"/>
      <c r="I762" s="59"/>
      <c r="J762" s="59"/>
      <c r="K762" s="59"/>
      <c r="L762" s="59"/>
    </row>
    <row r="763">
      <c r="A763" s="59"/>
      <c r="B763" s="59"/>
      <c r="C763" s="59"/>
      <c r="D763" s="59"/>
      <c r="E763" s="59"/>
      <c r="F763" s="59"/>
      <c r="G763" s="59"/>
      <c r="H763" s="59"/>
      <c r="I763" s="59"/>
      <c r="J763" s="59"/>
      <c r="K763" s="59"/>
      <c r="L763" s="59"/>
    </row>
    <row r="764">
      <c r="A764" s="59"/>
      <c r="B764" s="59"/>
      <c r="C764" s="59"/>
      <c r="D764" s="59"/>
      <c r="E764" s="59"/>
      <c r="F764" s="59"/>
      <c r="G764" s="59"/>
      <c r="H764" s="59"/>
      <c r="I764" s="59"/>
      <c r="J764" s="59"/>
      <c r="K764" s="59"/>
      <c r="L764" s="59"/>
    </row>
    <row r="765">
      <c r="A765" s="59"/>
      <c r="B765" s="59"/>
      <c r="C765" s="59"/>
      <c r="D765" s="59"/>
      <c r="E765" s="59"/>
      <c r="F765" s="59"/>
      <c r="G765" s="59"/>
      <c r="H765" s="59"/>
      <c r="I765" s="59"/>
      <c r="J765" s="59"/>
      <c r="K765" s="59"/>
      <c r="L765" s="59"/>
    </row>
    <row r="766">
      <c r="A766" s="59"/>
      <c r="B766" s="59"/>
      <c r="C766" s="59"/>
      <c r="D766" s="59"/>
      <c r="E766" s="59"/>
      <c r="F766" s="59"/>
      <c r="G766" s="59"/>
      <c r="H766" s="59"/>
      <c r="I766" s="59"/>
      <c r="J766" s="59"/>
      <c r="K766" s="59"/>
      <c r="L766" s="59"/>
    </row>
    <row r="767">
      <c r="A767" s="59"/>
      <c r="B767" s="59"/>
      <c r="C767" s="59"/>
      <c r="D767" s="59"/>
      <c r="E767" s="59"/>
      <c r="F767" s="59"/>
      <c r="G767" s="59"/>
      <c r="H767" s="59"/>
      <c r="I767" s="59"/>
      <c r="J767" s="59"/>
      <c r="K767" s="59"/>
      <c r="L767" s="59"/>
    </row>
    <row r="768">
      <c r="A768" s="59"/>
      <c r="B768" s="59"/>
      <c r="C768" s="59"/>
      <c r="D768" s="59"/>
      <c r="E768" s="59"/>
      <c r="F768" s="59"/>
      <c r="G768" s="59"/>
      <c r="H768" s="59"/>
      <c r="I768" s="59"/>
      <c r="J768" s="59"/>
      <c r="K768" s="59"/>
      <c r="L768" s="59"/>
    </row>
    <row r="769">
      <c r="A769" s="59"/>
      <c r="B769" s="59"/>
      <c r="C769" s="59"/>
      <c r="D769" s="59"/>
      <c r="E769" s="59"/>
      <c r="F769" s="59"/>
      <c r="G769" s="59"/>
      <c r="H769" s="59"/>
      <c r="I769" s="59"/>
      <c r="J769" s="59"/>
      <c r="K769" s="59"/>
      <c r="L769" s="59"/>
    </row>
    <row r="770">
      <c r="A770" s="59"/>
      <c r="B770" s="59"/>
      <c r="C770" s="59"/>
      <c r="D770" s="59"/>
      <c r="E770" s="59"/>
      <c r="F770" s="59"/>
      <c r="G770" s="59"/>
      <c r="H770" s="59"/>
      <c r="I770" s="59"/>
      <c r="J770" s="59"/>
      <c r="K770" s="59"/>
      <c r="L770" s="59"/>
    </row>
    <row r="771">
      <c r="A771" s="59"/>
      <c r="B771" s="59"/>
      <c r="C771" s="59"/>
      <c r="D771" s="59"/>
      <c r="E771" s="59"/>
      <c r="F771" s="59"/>
      <c r="G771" s="59"/>
      <c r="H771" s="59"/>
      <c r="I771" s="59"/>
      <c r="J771" s="59"/>
      <c r="K771" s="59"/>
      <c r="L771" s="59"/>
    </row>
    <row r="772">
      <c r="A772" s="59"/>
      <c r="B772" s="59"/>
      <c r="C772" s="59"/>
      <c r="D772" s="59"/>
      <c r="E772" s="59"/>
      <c r="F772" s="59"/>
      <c r="G772" s="59"/>
      <c r="H772" s="59"/>
      <c r="I772" s="59"/>
      <c r="J772" s="59"/>
      <c r="K772" s="59"/>
      <c r="L772" s="59"/>
    </row>
    <row r="773">
      <c r="A773" s="59"/>
      <c r="B773" s="59"/>
      <c r="C773" s="59"/>
      <c r="D773" s="59"/>
      <c r="E773" s="59"/>
      <c r="F773" s="59"/>
      <c r="G773" s="59"/>
      <c r="H773" s="59"/>
      <c r="I773" s="59"/>
      <c r="J773" s="59"/>
      <c r="K773" s="59"/>
      <c r="L773" s="59"/>
    </row>
    <row r="774">
      <c r="A774" s="59"/>
      <c r="B774" s="59"/>
      <c r="C774" s="59"/>
      <c r="D774" s="59"/>
      <c r="E774" s="59"/>
      <c r="F774" s="59"/>
      <c r="G774" s="59"/>
      <c r="H774" s="59"/>
      <c r="I774" s="59"/>
      <c r="J774" s="59"/>
      <c r="K774" s="59"/>
      <c r="L774" s="59"/>
    </row>
    <row r="775">
      <c r="A775" s="59"/>
      <c r="B775" s="59"/>
      <c r="C775" s="59"/>
      <c r="D775" s="59"/>
      <c r="E775" s="59"/>
      <c r="F775" s="59"/>
      <c r="G775" s="59"/>
      <c r="H775" s="59"/>
      <c r="I775" s="59"/>
      <c r="J775" s="59"/>
      <c r="K775" s="59"/>
      <c r="L775" s="59"/>
    </row>
    <row r="776">
      <c r="A776" s="59"/>
      <c r="B776" s="59"/>
      <c r="C776" s="59"/>
      <c r="D776" s="59"/>
      <c r="E776" s="59"/>
      <c r="F776" s="59"/>
      <c r="G776" s="59"/>
      <c r="H776" s="59"/>
      <c r="I776" s="59"/>
      <c r="J776" s="59"/>
      <c r="K776" s="59"/>
      <c r="L776" s="59"/>
    </row>
    <row r="777">
      <c r="A777" s="59"/>
      <c r="B777" s="59"/>
      <c r="C777" s="59"/>
      <c r="D777" s="59"/>
      <c r="E777" s="59"/>
      <c r="F777" s="59"/>
      <c r="G777" s="59"/>
      <c r="H777" s="59"/>
      <c r="I777" s="59"/>
      <c r="J777" s="59"/>
      <c r="K777" s="59"/>
      <c r="L777" s="59"/>
    </row>
    <row r="778">
      <c r="A778" s="59"/>
      <c r="B778" s="59"/>
      <c r="C778" s="59"/>
      <c r="D778" s="59"/>
      <c r="E778" s="59"/>
      <c r="F778" s="59"/>
      <c r="G778" s="59"/>
      <c r="H778" s="59"/>
      <c r="I778" s="59"/>
      <c r="J778" s="59"/>
      <c r="K778" s="59"/>
      <c r="L778" s="59"/>
    </row>
    <row r="779">
      <c r="A779" s="59"/>
      <c r="B779" s="59"/>
      <c r="C779" s="59"/>
      <c r="D779" s="59"/>
      <c r="E779" s="59"/>
      <c r="F779" s="59"/>
      <c r="G779" s="59"/>
      <c r="H779" s="59"/>
      <c r="I779" s="59"/>
      <c r="J779" s="59"/>
      <c r="K779" s="59"/>
      <c r="L779" s="59"/>
    </row>
    <row r="780">
      <c r="A780" s="59"/>
      <c r="B780" s="59"/>
      <c r="C780" s="59"/>
      <c r="D780" s="59"/>
      <c r="E780" s="59"/>
      <c r="F780" s="59"/>
      <c r="G780" s="59"/>
      <c r="H780" s="59"/>
      <c r="I780" s="59"/>
      <c r="J780" s="59"/>
      <c r="K780" s="59"/>
      <c r="L780" s="59"/>
    </row>
    <row r="781">
      <c r="A781" s="59"/>
      <c r="B781" s="59"/>
      <c r="C781" s="59"/>
      <c r="D781" s="59"/>
      <c r="E781" s="59"/>
      <c r="F781" s="59"/>
      <c r="G781" s="59"/>
      <c r="H781" s="59"/>
      <c r="I781" s="59"/>
      <c r="J781" s="59"/>
      <c r="K781" s="59"/>
      <c r="L781" s="59"/>
    </row>
    <row r="782">
      <c r="A782" s="59"/>
      <c r="B782" s="59"/>
      <c r="C782" s="59"/>
      <c r="D782" s="59"/>
      <c r="E782" s="59"/>
      <c r="F782" s="59"/>
      <c r="G782" s="59"/>
      <c r="H782" s="59"/>
      <c r="I782" s="59"/>
      <c r="J782" s="59"/>
      <c r="K782" s="59"/>
      <c r="L782" s="59"/>
    </row>
    <row r="783">
      <c r="A783" s="59"/>
      <c r="B783" s="59"/>
      <c r="C783" s="59"/>
      <c r="D783" s="59"/>
      <c r="E783" s="59"/>
      <c r="F783" s="59"/>
      <c r="G783" s="59"/>
      <c r="H783" s="59"/>
      <c r="I783" s="59"/>
      <c r="J783" s="59"/>
      <c r="K783" s="59"/>
      <c r="L783" s="59"/>
    </row>
    <row r="784">
      <c r="A784" s="59"/>
      <c r="B784" s="59"/>
      <c r="C784" s="59"/>
      <c r="D784" s="59"/>
      <c r="E784" s="59"/>
      <c r="F784" s="59"/>
      <c r="G784" s="59"/>
      <c r="H784" s="59"/>
      <c r="I784" s="59"/>
      <c r="J784" s="59"/>
      <c r="K784" s="59"/>
      <c r="L784" s="59"/>
    </row>
    <row r="785">
      <c r="A785" s="59"/>
      <c r="B785" s="59"/>
      <c r="C785" s="59"/>
      <c r="D785" s="59"/>
      <c r="E785" s="59"/>
      <c r="F785" s="59"/>
      <c r="G785" s="59"/>
      <c r="H785" s="59"/>
      <c r="I785" s="59"/>
      <c r="J785" s="59"/>
      <c r="K785" s="59"/>
      <c r="L785" s="59"/>
    </row>
    <row r="786">
      <c r="A786" s="59"/>
      <c r="B786" s="59"/>
      <c r="C786" s="59"/>
      <c r="D786" s="59"/>
      <c r="E786" s="59"/>
      <c r="F786" s="59"/>
      <c r="G786" s="59"/>
      <c r="H786" s="59"/>
      <c r="I786" s="59"/>
      <c r="J786" s="59"/>
      <c r="K786" s="59"/>
      <c r="L786" s="59"/>
    </row>
    <row r="787">
      <c r="A787" s="59"/>
      <c r="B787" s="59"/>
      <c r="C787" s="59"/>
      <c r="D787" s="59"/>
      <c r="E787" s="59"/>
      <c r="F787" s="59"/>
      <c r="G787" s="59"/>
      <c r="H787" s="59"/>
      <c r="I787" s="59"/>
      <c r="J787" s="59"/>
      <c r="K787" s="59"/>
      <c r="L787" s="59"/>
    </row>
    <row r="788">
      <c r="A788" s="59"/>
      <c r="B788" s="59"/>
      <c r="C788" s="59"/>
      <c r="D788" s="59"/>
      <c r="E788" s="59"/>
      <c r="F788" s="59"/>
      <c r="G788" s="59"/>
      <c r="H788" s="59"/>
      <c r="I788" s="59"/>
      <c r="J788" s="59"/>
      <c r="K788" s="59"/>
      <c r="L788" s="59"/>
    </row>
    <row r="789">
      <c r="A789" s="59"/>
      <c r="B789" s="59"/>
      <c r="C789" s="59"/>
      <c r="D789" s="59"/>
      <c r="E789" s="59"/>
      <c r="F789" s="59"/>
      <c r="G789" s="59"/>
      <c r="H789" s="59"/>
      <c r="I789" s="59"/>
      <c r="J789" s="59"/>
      <c r="K789" s="59"/>
      <c r="L789" s="59"/>
    </row>
    <row r="790">
      <c r="A790" s="59"/>
      <c r="B790" s="59"/>
      <c r="C790" s="59"/>
      <c r="D790" s="59"/>
      <c r="E790" s="59"/>
      <c r="F790" s="59"/>
      <c r="G790" s="59"/>
      <c r="H790" s="59"/>
      <c r="I790" s="59"/>
      <c r="J790" s="59"/>
      <c r="K790" s="59"/>
      <c r="L790" s="59"/>
    </row>
    <row r="791">
      <c r="A791" s="59"/>
      <c r="B791" s="59"/>
      <c r="C791" s="59"/>
      <c r="D791" s="59"/>
      <c r="E791" s="59"/>
      <c r="F791" s="59"/>
      <c r="G791" s="59"/>
      <c r="H791" s="59"/>
      <c r="I791" s="59"/>
      <c r="J791" s="59"/>
      <c r="K791" s="59"/>
      <c r="L791" s="59"/>
    </row>
    <row r="792">
      <c r="A792" s="59"/>
      <c r="B792" s="59"/>
      <c r="C792" s="59"/>
      <c r="D792" s="59"/>
      <c r="E792" s="59"/>
      <c r="F792" s="59"/>
      <c r="G792" s="59"/>
      <c r="H792" s="59"/>
      <c r="I792" s="59"/>
      <c r="J792" s="59"/>
      <c r="K792" s="59"/>
      <c r="L792" s="59"/>
    </row>
    <row r="793">
      <c r="A793" s="59"/>
      <c r="B793" s="59"/>
      <c r="C793" s="59"/>
      <c r="D793" s="59"/>
      <c r="E793" s="59"/>
      <c r="F793" s="59"/>
      <c r="G793" s="59"/>
      <c r="H793" s="59"/>
      <c r="I793" s="59"/>
      <c r="J793" s="59"/>
      <c r="K793" s="59"/>
      <c r="L793" s="59"/>
    </row>
    <row r="794">
      <c r="A794" s="59"/>
      <c r="B794" s="59"/>
      <c r="C794" s="59"/>
      <c r="D794" s="59"/>
      <c r="E794" s="59"/>
      <c r="F794" s="59"/>
      <c r="G794" s="59"/>
      <c r="H794" s="59"/>
      <c r="I794" s="59"/>
      <c r="J794" s="59"/>
      <c r="K794" s="59"/>
      <c r="L794" s="59"/>
    </row>
    <row r="795">
      <c r="A795" s="59"/>
      <c r="B795" s="59"/>
      <c r="C795" s="59"/>
      <c r="D795" s="59"/>
      <c r="E795" s="59"/>
      <c r="F795" s="59"/>
      <c r="G795" s="59"/>
      <c r="H795" s="59"/>
      <c r="I795" s="59"/>
      <c r="J795" s="59"/>
      <c r="K795" s="59"/>
      <c r="L795" s="59"/>
    </row>
    <row r="796">
      <c r="A796" s="59"/>
      <c r="B796" s="59"/>
      <c r="C796" s="59"/>
      <c r="D796" s="59"/>
      <c r="E796" s="59"/>
      <c r="F796" s="59"/>
      <c r="G796" s="59"/>
      <c r="H796" s="59"/>
      <c r="I796" s="59"/>
      <c r="J796" s="59"/>
      <c r="K796" s="59"/>
      <c r="L796" s="59"/>
    </row>
    <row r="797">
      <c r="A797" s="59"/>
      <c r="B797" s="59"/>
      <c r="C797" s="59"/>
      <c r="D797" s="59"/>
      <c r="E797" s="59"/>
      <c r="F797" s="59"/>
      <c r="G797" s="59"/>
      <c r="H797" s="59"/>
      <c r="I797" s="59"/>
      <c r="J797" s="59"/>
      <c r="K797" s="59"/>
      <c r="L797" s="59"/>
    </row>
    <row r="798">
      <c r="A798" s="59"/>
      <c r="B798" s="59"/>
      <c r="C798" s="59"/>
      <c r="D798" s="59"/>
      <c r="E798" s="59"/>
      <c r="F798" s="59"/>
      <c r="G798" s="59"/>
      <c r="H798" s="59"/>
      <c r="I798" s="59"/>
      <c r="J798" s="59"/>
      <c r="K798" s="59"/>
      <c r="L798" s="59"/>
    </row>
    <row r="799">
      <c r="A799" s="59"/>
      <c r="B799" s="59"/>
      <c r="C799" s="59"/>
      <c r="D799" s="59"/>
      <c r="E799" s="59"/>
      <c r="F799" s="59"/>
      <c r="G799" s="59"/>
      <c r="H799" s="59"/>
      <c r="I799" s="59"/>
      <c r="J799" s="59"/>
      <c r="K799" s="59"/>
      <c r="L799" s="59"/>
    </row>
    <row r="800">
      <c r="A800" s="59"/>
      <c r="B800" s="59"/>
      <c r="C800" s="59"/>
      <c r="D800" s="59"/>
      <c r="E800" s="59"/>
      <c r="F800" s="59"/>
      <c r="G800" s="59"/>
      <c r="H800" s="59"/>
      <c r="I800" s="59"/>
      <c r="J800" s="59"/>
      <c r="K800" s="59"/>
      <c r="L800" s="59"/>
    </row>
    <row r="801">
      <c r="A801" s="59"/>
      <c r="B801" s="59"/>
      <c r="C801" s="59"/>
      <c r="D801" s="59"/>
      <c r="E801" s="59"/>
      <c r="F801" s="59"/>
      <c r="G801" s="59"/>
      <c r="H801" s="59"/>
      <c r="I801" s="59"/>
      <c r="J801" s="59"/>
      <c r="K801" s="59"/>
      <c r="L801" s="59"/>
    </row>
    <row r="802">
      <c r="A802" s="59"/>
      <c r="B802" s="59"/>
      <c r="C802" s="59"/>
      <c r="D802" s="59"/>
      <c r="E802" s="59"/>
      <c r="F802" s="59"/>
      <c r="G802" s="59"/>
      <c r="H802" s="59"/>
      <c r="I802" s="59"/>
      <c r="J802" s="59"/>
      <c r="K802" s="59"/>
      <c r="L802" s="59"/>
    </row>
    <row r="803">
      <c r="A803" s="59"/>
      <c r="B803" s="59"/>
      <c r="C803" s="59"/>
      <c r="D803" s="59"/>
      <c r="E803" s="59"/>
      <c r="F803" s="59"/>
      <c r="G803" s="59"/>
      <c r="H803" s="59"/>
      <c r="I803" s="59"/>
      <c r="J803" s="59"/>
      <c r="K803" s="59"/>
      <c r="L803" s="59"/>
    </row>
    <row r="804">
      <c r="A804" s="59"/>
      <c r="B804" s="59"/>
      <c r="C804" s="59"/>
      <c r="D804" s="59"/>
      <c r="E804" s="59"/>
      <c r="F804" s="59"/>
      <c r="G804" s="59"/>
      <c r="H804" s="59"/>
      <c r="I804" s="59"/>
      <c r="J804" s="59"/>
      <c r="K804" s="59"/>
      <c r="L804" s="59"/>
    </row>
    <row r="805">
      <c r="A805" s="59"/>
      <c r="B805" s="59"/>
      <c r="C805" s="59"/>
      <c r="D805" s="59"/>
      <c r="E805" s="59"/>
      <c r="F805" s="59"/>
      <c r="G805" s="59"/>
      <c r="H805" s="59"/>
      <c r="I805" s="59"/>
      <c r="J805" s="59"/>
      <c r="K805" s="59"/>
      <c r="L805" s="59"/>
    </row>
    <row r="806">
      <c r="A806" s="59"/>
      <c r="B806" s="59"/>
      <c r="C806" s="59"/>
      <c r="D806" s="59"/>
      <c r="E806" s="59"/>
      <c r="F806" s="59"/>
      <c r="G806" s="59"/>
      <c r="H806" s="59"/>
      <c r="I806" s="59"/>
      <c r="J806" s="59"/>
      <c r="K806" s="59"/>
      <c r="L806" s="59"/>
    </row>
    <row r="807">
      <c r="A807" s="59"/>
      <c r="B807" s="59"/>
      <c r="C807" s="59"/>
      <c r="D807" s="59"/>
      <c r="E807" s="59"/>
      <c r="F807" s="59"/>
      <c r="G807" s="59"/>
      <c r="H807" s="59"/>
      <c r="I807" s="59"/>
      <c r="J807" s="59"/>
      <c r="K807" s="59"/>
      <c r="L807" s="59"/>
    </row>
    <row r="808">
      <c r="A808" s="59"/>
      <c r="B808" s="59"/>
      <c r="C808" s="59"/>
      <c r="D808" s="59"/>
      <c r="E808" s="59"/>
      <c r="F808" s="59"/>
      <c r="G808" s="59"/>
      <c r="H808" s="59"/>
      <c r="I808" s="59"/>
      <c r="J808" s="59"/>
      <c r="K808" s="59"/>
      <c r="L808" s="59"/>
    </row>
    <row r="809">
      <c r="A809" s="59"/>
      <c r="B809" s="59"/>
      <c r="C809" s="59"/>
      <c r="D809" s="59"/>
      <c r="E809" s="59"/>
      <c r="F809" s="59"/>
      <c r="G809" s="59"/>
      <c r="H809" s="59"/>
      <c r="I809" s="59"/>
      <c r="J809" s="59"/>
      <c r="K809" s="59"/>
      <c r="L809" s="59"/>
    </row>
    <row r="810">
      <c r="A810" s="59"/>
      <c r="B810" s="59"/>
      <c r="C810" s="59"/>
      <c r="D810" s="59"/>
      <c r="E810" s="59"/>
      <c r="F810" s="59"/>
      <c r="G810" s="59"/>
      <c r="H810" s="59"/>
      <c r="I810" s="59"/>
      <c r="J810" s="59"/>
      <c r="K810" s="59"/>
      <c r="L810" s="59"/>
    </row>
    <row r="811">
      <c r="A811" s="59"/>
      <c r="B811" s="59"/>
      <c r="C811" s="59"/>
      <c r="D811" s="59"/>
      <c r="E811" s="59"/>
      <c r="F811" s="59"/>
      <c r="G811" s="59"/>
      <c r="H811" s="59"/>
      <c r="I811" s="59"/>
      <c r="J811" s="59"/>
      <c r="K811" s="59"/>
      <c r="L811" s="59"/>
    </row>
    <row r="812">
      <c r="A812" s="59"/>
      <c r="B812" s="59"/>
      <c r="C812" s="59"/>
      <c r="D812" s="59"/>
      <c r="E812" s="59"/>
      <c r="F812" s="59"/>
      <c r="G812" s="59"/>
      <c r="H812" s="59"/>
      <c r="I812" s="59"/>
      <c r="J812" s="59"/>
      <c r="K812" s="59"/>
      <c r="L812" s="59"/>
    </row>
    <row r="813">
      <c r="A813" s="59"/>
      <c r="B813" s="59"/>
      <c r="C813" s="59"/>
      <c r="D813" s="59"/>
      <c r="E813" s="59"/>
      <c r="F813" s="59"/>
      <c r="G813" s="59"/>
      <c r="H813" s="59"/>
      <c r="I813" s="59"/>
      <c r="J813" s="59"/>
      <c r="K813" s="59"/>
      <c r="L813" s="59"/>
    </row>
    <row r="814">
      <c r="A814" s="59"/>
      <c r="B814" s="59"/>
      <c r="C814" s="59"/>
      <c r="D814" s="59"/>
      <c r="E814" s="59"/>
      <c r="F814" s="59"/>
      <c r="G814" s="59"/>
      <c r="H814" s="59"/>
      <c r="I814" s="59"/>
      <c r="J814" s="59"/>
      <c r="K814" s="59"/>
      <c r="L814" s="59"/>
    </row>
    <row r="815">
      <c r="A815" s="59"/>
      <c r="B815" s="59"/>
      <c r="C815" s="59"/>
      <c r="D815" s="59"/>
      <c r="E815" s="59"/>
      <c r="F815" s="59"/>
      <c r="G815" s="59"/>
      <c r="H815" s="59"/>
      <c r="I815" s="59"/>
      <c r="J815" s="59"/>
      <c r="K815" s="59"/>
      <c r="L815" s="59"/>
    </row>
    <row r="816">
      <c r="A816" s="59"/>
      <c r="B816" s="59"/>
      <c r="C816" s="59"/>
      <c r="D816" s="59"/>
      <c r="E816" s="59"/>
      <c r="F816" s="59"/>
      <c r="G816" s="59"/>
      <c r="H816" s="59"/>
      <c r="I816" s="59"/>
      <c r="J816" s="59"/>
      <c r="K816" s="59"/>
      <c r="L816" s="59"/>
    </row>
    <row r="817">
      <c r="A817" s="59"/>
      <c r="B817" s="59"/>
      <c r="C817" s="59"/>
      <c r="D817" s="59"/>
      <c r="E817" s="59"/>
      <c r="F817" s="59"/>
      <c r="G817" s="59"/>
      <c r="H817" s="59"/>
      <c r="I817" s="59"/>
      <c r="J817" s="59"/>
      <c r="K817" s="59"/>
      <c r="L817" s="59"/>
    </row>
    <row r="818">
      <c r="A818" s="59"/>
      <c r="B818" s="59"/>
      <c r="C818" s="59"/>
      <c r="D818" s="59"/>
      <c r="E818" s="59"/>
      <c r="F818" s="59"/>
      <c r="G818" s="59"/>
      <c r="H818" s="59"/>
      <c r="I818" s="59"/>
      <c r="J818" s="59"/>
      <c r="K818" s="59"/>
      <c r="L818" s="59"/>
    </row>
    <row r="819">
      <c r="A819" s="59"/>
      <c r="B819" s="59"/>
      <c r="C819" s="59"/>
      <c r="D819" s="59"/>
      <c r="E819" s="59"/>
      <c r="F819" s="59"/>
      <c r="G819" s="59"/>
      <c r="H819" s="59"/>
      <c r="I819" s="59"/>
      <c r="J819" s="59"/>
      <c r="K819" s="59"/>
      <c r="L819" s="59"/>
    </row>
    <row r="820">
      <c r="A820" s="59"/>
      <c r="B820" s="59"/>
      <c r="C820" s="59"/>
      <c r="D820" s="59"/>
      <c r="E820" s="59"/>
      <c r="F820" s="59"/>
      <c r="G820" s="59"/>
      <c r="H820" s="59"/>
      <c r="I820" s="59"/>
      <c r="J820" s="59"/>
      <c r="K820" s="59"/>
      <c r="L820" s="59"/>
    </row>
    <row r="821">
      <c r="A821" s="59"/>
      <c r="B821" s="59"/>
      <c r="C821" s="59"/>
      <c r="D821" s="59"/>
      <c r="E821" s="59"/>
      <c r="F821" s="59"/>
      <c r="G821" s="59"/>
      <c r="H821" s="59"/>
      <c r="I821" s="59"/>
      <c r="J821" s="59"/>
      <c r="K821" s="59"/>
      <c r="L821" s="59"/>
    </row>
    <row r="822">
      <c r="A822" s="59"/>
      <c r="B822" s="59"/>
      <c r="C822" s="59"/>
      <c r="D822" s="59"/>
      <c r="E822" s="59"/>
      <c r="F822" s="59"/>
      <c r="G822" s="59"/>
      <c r="H822" s="59"/>
      <c r="I822" s="59"/>
      <c r="J822" s="59"/>
      <c r="K822" s="59"/>
      <c r="L822" s="59"/>
    </row>
    <row r="823">
      <c r="A823" s="59"/>
      <c r="B823" s="59"/>
      <c r="C823" s="59"/>
      <c r="D823" s="59"/>
      <c r="E823" s="59"/>
      <c r="F823" s="59"/>
      <c r="G823" s="59"/>
      <c r="H823" s="59"/>
      <c r="I823" s="59"/>
      <c r="J823" s="59"/>
      <c r="K823" s="59"/>
      <c r="L823" s="59"/>
    </row>
    <row r="824">
      <c r="A824" s="59"/>
      <c r="B824" s="59"/>
      <c r="C824" s="59"/>
      <c r="D824" s="59"/>
      <c r="E824" s="59"/>
      <c r="F824" s="59"/>
      <c r="G824" s="59"/>
      <c r="H824" s="59"/>
      <c r="I824" s="59"/>
      <c r="J824" s="59"/>
      <c r="K824" s="59"/>
      <c r="L824" s="59"/>
    </row>
    <row r="825">
      <c r="A825" s="59"/>
      <c r="B825" s="59"/>
      <c r="C825" s="59"/>
      <c r="D825" s="59"/>
      <c r="E825" s="59"/>
      <c r="F825" s="59"/>
      <c r="G825" s="59"/>
      <c r="H825" s="59"/>
      <c r="I825" s="59"/>
      <c r="J825" s="59"/>
      <c r="K825" s="59"/>
      <c r="L825" s="59"/>
    </row>
    <row r="826">
      <c r="A826" s="59"/>
      <c r="B826" s="59"/>
      <c r="C826" s="59"/>
      <c r="D826" s="59"/>
      <c r="E826" s="59"/>
      <c r="F826" s="59"/>
      <c r="G826" s="59"/>
      <c r="H826" s="59"/>
      <c r="I826" s="59"/>
      <c r="J826" s="59"/>
      <c r="K826" s="59"/>
      <c r="L826" s="59"/>
    </row>
    <row r="827">
      <c r="A827" s="59"/>
      <c r="B827" s="59"/>
      <c r="C827" s="59"/>
      <c r="D827" s="59"/>
      <c r="E827" s="59"/>
      <c r="F827" s="59"/>
      <c r="G827" s="59"/>
      <c r="H827" s="59"/>
      <c r="I827" s="59"/>
      <c r="J827" s="59"/>
      <c r="K827" s="59"/>
      <c r="L827" s="59"/>
    </row>
    <row r="828">
      <c r="A828" s="59"/>
      <c r="B828" s="59"/>
      <c r="C828" s="59"/>
      <c r="D828" s="59"/>
      <c r="E828" s="59"/>
      <c r="F828" s="59"/>
      <c r="G828" s="59"/>
      <c r="H828" s="59"/>
      <c r="I828" s="59"/>
      <c r="J828" s="59"/>
      <c r="K828" s="59"/>
      <c r="L828" s="59"/>
    </row>
    <row r="829">
      <c r="A829" s="59"/>
      <c r="B829" s="59"/>
      <c r="C829" s="59"/>
      <c r="D829" s="59"/>
      <c r="E829" s="59"/>
      <c r="F829" s="59"/>
      <c r="G829" s="59"/>
      <c r="H829" s="59"/>
      <c r="I829" s="59"/>
      <c r="J829" s="59"/>
      <c r="K829" s="59"/>
      <c r="L829" s="59"/>
    </row>
    <row r="830">
      <c r="A830" s="59"/>
      <c r="B830" s="59"/>
      <c r="C830" s="59"/>
      <c r="D830" s="59"/>
      <c r="E830" s="59"/>
      <c r="F830" s="59"/>
      <c r="G830" s="59"/>
      <c r="H830" s="59"/>
      <c r="I830" s="59"/>
      <c r="J830" s="59"/>
      <c r="K830" s="59"/>
      <c r="L830" s="59"/>
    </row>
    <row r="831">
      <c r="A831" s="59"/>
      <c r="B831" s="59"/>
      <c r="C831" s="59"/>
      <c r="D831" s="59"/>
      <c r="E831" s="59"/>
      <c r="F831" s="59"/>
      <c r="G831" s="59"/>
      <c r="H831" s="59"/>
      <c r="I831" s="59"/>
      <c r="J831" s="59"/>
      <c r="K831" s="59"/>
      <c r="L831" s="59"/>
    </row>
    <row r="832">
      <c r="A832" s="59"/>
      <c r="B832" s="59"/>
      <c r="C832" s="59"/>
      <c r="D832" s="59"/>
      <c r="E832" s="59"/>
      <c r="F832" s="59"/>
      <c r="G832" s="59"/>
      <c r="H832" s="59"/>
      <c r="I832" s="59"/>
      <c r="J832" s="59"/>
      <c r="K832" s="59"/>
      <c r="L832" s="59"/>
    </row>
    <row r="833">
      <c r="A833" s="59"/>
      <c r="B833" s="59"/>
      <c r="C833" s="59"/>
      <c r="D833" s="59"/>
      <c r="E833" s="59"/>
      <c r="F833" s="59"/>
      <c r="G833" s="59"/>
      <c r="H833" s="59"/>
      <c r="I833" s="59"/>
      <c r="J833" s="59"/>
      <c r="K833" s="59"/>
      <c r="L833" s="59"/>
    </row>
    <row r="834">
      <c r="A834" s="59"/>
      <c r="B834" s="59"/>
      <c r="C834" s="59"/>
      <c r="D834" s="59"/>
      <c r="E834" s="59"/>
      <c r="F834" s="59"/>
      <c r="G834" s="59"/>
      <c r="H834" s="59"/>
      <c r="I834" s="59"/>
      <c r="J834" s="59"/>
      <c r="K834" s="59"/>
      <c r="L834" s="59"/>
    </row>
    <row r="835">
      <c r="A835" s="59"/>
      <c r="B835" s="59"/>
      <c r="C835" s="59"/>
      <c r="D835" s="59"/>
      <c r="E835" s="59"/>
      <c r="F835" s="59"/>
      <c r="G835" s="59"/>
      <c r="H835" s="59"/>
      <c r="I835" s="59"/>
      <c r="J835" s="59"/>
      <c r="K835" s="59"/>
      <c r="L835" s="59"/>
    </row>
    <row r="836">
      <c r="A836" s="59"/>
      <c r="B836" s="59"/>
      <c r="C836" s="59"/>
      <c r="D836" s="59"/>
      <c r="E836" s="59"/>
      <c r="F836" s="59"/>
      <c r="G836" s="59"/>
      <c r="H836" s="59"/>
      <c r="I836" s="59"/>
      <c r="J836" s="59"/>
      <c r="K836" s="59"/>
      <c r="L836" s="59"/>
    </row>
    <row r="837">
      <c r="A837" s="59"/>
      <c r="B837" s="59"/>
      <c r="C837" s="59"/>
      <c r="D837" s="59"/>
      <c r="E837" s="59"/>
      <c r="F837" s="59"/>
      <c r="G837" s="59"/>
      <c r="H837" s="59"/>
      <c r="I837" s="59"/>
      <c r="J837" s="59"/>
      <c r="K837" s="59"/>
      <c r="L837" s="59"/>
    </row>
    <row r="838">
      <c r="A838" s="59"/>
      <c r="B838" s="59"/>
      <c r="C838" s="59"/>
      <c r="D838" s="59"/>
      <c r="E838" s="59"/>
      <c r="F838" s="59"/>
      <c r="G838" s="59"/>
      <c r="H838" s="59"/>
      <c r="I838" s="59"/>
      <c r="J838" s="59"/>
      <c r="K838" s="59"/>
      <c r="L838" s="59"/>
    </row>
    <row r="839">
      <c r="A839" s="59"/>
      <c r="B839" s="59"/>
      <c r="C839" s="59"/>
      <c r="D839" s="59"/>
      <c r="E839" s="59"/>
      <c r="F839" s="59"/>
      <c r="G839" s="59"/>
      <c r="H839" s="59"/>
      <c r="I839" s="59"/>
      <c r="J839" s="59"/>
      <c r="K839" s="59"/>
      <c r="L839" s="59"/>
    </row>
    <row r="840">
      <c r="A840" s="59"/>
      <c r="B840" s="59"/>
      <c r="C840" s="59"/>
      <c r="D840" s="59"/>
      <c r="E840" s="59"/>
      <c r="F840" s="59"/>
      <c r="G840" s="59"/>
      <c r="H840" s="59"/>
      <c r="I840" s="59"/>
      <c r="J840" s="59"/>
      <c r="K840" s="59"/>
      <c r="L840" s="59"/>
    </row>
    <row r="841">
      <c r="A841" s="59"/>
      <c r="B841" s="59"/>
      <c r="C841" s="59"/>
      <c r="D841" s="59"/>
      <c r="E841" s="59"/>
      <c r="F841" s="59"/>
      <c r="G841" s="59"/>
      <c r="H841" s="59"/>
      <c r="I841" s="59"/>
      <c r="J841" s="59"/>
      <c r="K841" s="59"/>
      <c r="L841" s="59"/>
    </row>
    <row r="842">
      <c r="A842" s="59"/>
      <c r="B842" s="59"/>
      <c r="C842" s="59"/>
      <c r="D842" s="59"/>
      <c r="E842" s="59"/>
      <c r="F842" s="59"/>
      <c r="G842" s="59"/>
      <c r="H842" s="59"/>
      <c r="I842" s="59"/>
      <c r="J842" s="59"/>
      <c r="K842" s="59"/>
      <c r="L842" s="59"/>
    </row>
    <row r="843">
      <c r="A843" s="59"/>
      <c r="B843" s="59"/>
      <c r="C843" s="59"/>
      <c r="D843" s="59"/>
      <c r="E843" s="59"/>
      <c r="F843" s="59"/>
      <c r="G843" s="59"/>
      <c r="H843" s="59"/>
      <c r="I843" s="59"/>
      <c r="J843" s="59"/>
      <c r="K843" s="59"/>
      <c r="L843" s="59"/>
    </row>
    <row r="844">
      <c r="A844" s="59"/>
      <c r="B844" s="59"/>
      <c r="C844" s="59"/>
      <c r="D844" s="59"/>
      <c r="E844" s="59"/>
      <c r="F844" s="59"/>
      <c r="G844" s="59"/>
      <c r="H844" s="59"/>
      <c r="I844" s="59"/>
      <c r="J844" s="59"/>
      <c r="K844" s="59"/>
      <c r="L844" s="59"/>
    </row>
    <row r="845">
      <c r="A845" s="59"/>
      <c r="B845" s="59"/>
      <c r="C845" s="59"/>
      <c r="D845" s="59"/>
      <c r="E845" s="59"/>
      <c r="F845" s="59"/>
      <c r="G845" s="59"/>
      <c r="H845" s="59"/>
      <c r="I845" s="59"/>
      <c r="J845" s="59"/>
      <c r="K845" s="59"/>
      <c r="L845" s="59"/>
    </row>
    <row r="846">
      <c r="A846" s="59"/>
      <c r="B846" s="59"/>
      <c r="C846" s="59"/>
      <c r="D846" s="59"/>
      <c r="E846" s="59"/>
      <c r="F846" s="59"/>
      <c r="G846" s="59"/>
      <c r="H846" s="59"/>
      <c r="I846" s="59"/>
      <c r="J846" s="59"/>
      <c r="K846" s="59"/>
      <c r="L846" s="59"/>
    </row>
    <row r="847">
      <c r="A847" s="59"/>
      <c r="B847" s="59"/>
      <c r="C847" s="59"/>
      <c r="D847" s="59"/>
      <c r="E847" s="59"/>
      <c r="F847" s="59"/>
      <c r="G847" s="59"/>
      <c r="H847" s="59"/>
      <c r="I847" s="59"/>
      <c r="J847" s="59"/>
      <c r="K847" s="59"/>
      <c r="L847" s="59"/>
    </row>
    <row r="848">
      <c r="A848" s="59"/>
      <c r="B848" s="59"/>
      <c r="C848" s="59"/>
      <c r="D848" s="59"/>
      <c r="E848" s="59"/>
      <c r="F848" s="59"/>
      <c r="G848" s="59"/>
      <c r="H848" s="59"/>
      <c r="I848" s="59"/>
      <c r="J848" s="59"/>
      <c r="K848" s="59"/>
      <c r="L848" s="59"/>
    </row>
    <row r="849">
      <c r="A849" s="59"/>
      <c r="B849" s="59"/>
      <c r="C849" s="59"/>
      <c r="D849" s="59"/>
      <c r="E849" s="59"/>
      <c r="F849" s="59"/>
      <c r="G849" s="59"/>
      <c r="H849" s="59"/>
      <c r="I849" s="59"/>
      <c r="J849" s="59"/>
      <c r="K849" s="59"/>
      <c r="L849" s="59"/>
    </row>
    <row r="850">
      <c r="A850" s="59"/>
      <c r="B850" s="59"/>
      <c r="C850" s="59"/>
      <c r="D850" s="59"/>
      <c r="E850" s="59"/>
      <c r="F850" s="59"/>
      <c r="G850" s="59"/>
      <c r="H850" s="59"/>
      <c r="I850" s="59"/>
      <c r="J850" s="59"/>
      <c r="K850" s="59"/>
      <c r="L850" s="59"/>
    </row>
    <row r="851">
      <c r="A851" s="59"/>
      <c r="B851" s="59"/>
      <c r="C851" s="59"/>
      <c r="D851" s="59"/>
      <c r="E851" s="59"/>
      <c r="F851" s="59"/>
      <c r="G851" s="59"/>
      <c r="H851" s="59"/>
      <c r="I851" s="59"/>
      <c r="J851" s="59"/>
      <c r="K851" s="59"/>
      <c r="L851" s="59"/>
    </row>
    <row r="852">
      <c r="A852" s="59"/>
      <c r="B852" s="59"/>
      <c r="C852" s="59"/>
      <c r="D852" s="59"/>
      <c r="E852" s="59"/>
      <c r="F852" s="59"/>
      <c r="G852" s="59"/>
      <c r="H852" s="59"/>
      <c r="I852" s="59"/>
      <c r="J852" s="59"/>
      <c r="K852" s="59"/>
      <c r="L852" s="59"/>
    </row>
    <row r="853">
      <c r="A853" s="59"/>
      <c r="B853" s="59"/>
      <c r="C853" s="59"/>
      <c r="D853" s="59"/>
      <c r="E853" s="59"/>
      <c r="F853" s="59"/>
      <c r="G853" s="59"/>
      <c r="H853" s="59"/>
      <c r="I853" s="59"/>
      <c r="J853" s="59"/>
      <c r="K853" s="59"/>
      <c r="L853" s="59"/>
    </row>
    <row r="854">
      <c r="A854" s="59"/>
      <c r="B854" s="59"/>
      <c r="C854" s="59"/>
      <c r="D854" s="59"/>
      <c r="E854" s="59"/>
      <c r="F854" s="59"/>
      <c r="G854" s="59"/>
      <c r="H854" s="59"/>
      <c r="I854" s="59"/>
      <c r="J854" s="59"/>
      <c r="K854" s="59"/>
      <c r="L854" s="59"/>
    </row>
    <row r="855">
      <c r="A855" s="59"/>
      <c r="B855" s="59"/>
      <c r="C855" s="59"/>
      <c r="D855" s="59"/>
      <c r="E855" s="59"/>
      <c r="F855" s="59"/>
      <c r="G855" s="59"/>
      <c r="H855" s="59"/>
      <c r="I855" s="59"/>
      <c r="J855" s="59"/>
      <c r="K855" s="59"/>
      <c r="L855" s="59"/>
    </row>
    <row r="856">
      <c r="A856" s="59"/>
      <c r="B856" s="59"/>
      <c r="C856" s="59"/>
      <c r="D856" s="59"/>
      <c r="E856" s="59"/>
      <c r="F856" s="59"/>
      <c r="G856" s="59"/>
      <c r="H856" s="59"/>
      <c r="I856" s="59"/>
      <c r="J856" s="59"/>
      <c r="K856" s="59"/>
      <c r="L856" s="59"/>
    </row>
    <row r="857">
      <c r="A857" s="59"/>
      <c r="B857" s="59"/>
      <c r="C857" s="59"/>
      <c r="D857" s="59"/>
      <c r="E857" s="59"/>
      <c r="F857" s="59"/>
      <c r="G857" s="59"/>
      <c r="H857" s="59"/>
      <c r="I857" s="59"/>
      <c r="J857" s="59"/>
      <c r="K857" s="59"/>
      <c r="L857" s="59"/>
    </row>
    <row r="858">
      <c r="A858" s="59"/>
      <c r="B858" s="59"/>
      <c r="C858" s="59"/>
      <c r="D858" s="59"/>
      <c r="E858" s="59"/>
      <c r="F858" s="59"/>
      <c r="G858" s="59"/>
      <c r="H858" s="59"/>
      <c r="I858" s="59"/>
      <c r="J858" s="59"/>
      <c r="K858" s="59"/>
      <c r="L858" s="59"/>
    </row>
    <row r="859">
      <c r="A859" s="59"/>
      <c r="B859" s="59"/>
      <c r="C859" s="59"/>
      <c r="D859" s="59"/>
      <c r="E859" s="59"/>
      <c r="F859" s="59"/>
      <c r="G859" s="59"/>
      <c r="H859" s="59"/>
      <c r="I859" s="59"/>
      <c r="J859" s="59"/>
      <c r="K859" s="59"/>
      <c r="L859" s="59"/>
    </row>
    <row r="860">
      <c r="A860" s="59"/>
      <c r="B860" s="59"/>
      <c r="C860" s="59"/>
      <c r="D860" s="59"/>
      <c r="E860" s="59"/>
      <c r="F860" s="59"/>
      <c r="G860" s="59"/>
      <c r="H860" s="59"/>
      <c r="I860" s="59"/>
      <c r="J860" s="59"/>
      <c r="K860" s="59"/>
      <c r="L860" s="59"/>
    </row>
    <row r="861">
      <c r="A861" s="59"/>
      <c r="B861" s="59"/>
      <c r="C861" s="59"/>
      <c r="D861" s="59"/>
      <c r="E861" s="59"/>
      <c r="F861" s="59"/>
      <c r="G861" s="59"/>
      <c r="H861" s="59"/>
      <c r="I861" s="59"/>
      <c r="J861" s="59"/>
      <c r="K861" s="59"/>
      <c r="L861" s="59"/>
    </row>
    <row r="862">
      <c r="A862" s="59"/>
      <c r="B862" s="59"/>
      <c r="C862" s="59"/>
      <c r="D862" s="59"/>
      <c r="E862" s="59"/>
      <c r="F862" s="59"/>
      <c r="G862" s="59"/>
      <c r="H862" s="59"/>
      <c r="I862" s="59"/>
      <c r="J862" s="59"/>
      <c r="K862" s="59"/>
      <c r="L862" s="59"/>
    </row>
    <row r="863">
      <c r="A863" s="59"/>
      <c r="B863" s="59"/>
      <c r="C863" s="59"/>
      <c r="D863" s="59"/>
      <c r="E863" s="59"/>
      <c r="F863" s="59"/>
      <c r="G863" s="59"/>
      <c r="H863" s="59"/>
      <c r="I863" s="59"/>
      <c r="J863" s="59"/>
      <c r="K863" s="59"/>
      <c r="L863" s="59"/>
    </row>
    <row r="864">
      <c r="A864" s="59"/>
      <c r="B864" s="59"/>
      <c r="C864" s="59"/>
      <c r="D864" s="59"/>
      <c r="E864" s="59"/>
      <c r="F864" s="59"/>
      <c r="G864" s="59"/>
      <c r="H864" s="59"/>
      <c r="I864" s="59"/>
      <c r="J864" s="59"/>
      <c r="K864" s="59"/>
      <c r="L864" s="59"/>
    </row>
    <row r="865">
      <c r="A865" s="59"/>
      <c r="B865" s="59"/>
      <c r="C865" s="59"/>
      <c r="D865" s="59"/>
      <c r="E865" s="59"/>
      <c r="F865" s="59"/>
      <c r="G865" s="59"/>
      <c r="H865" s="59"/>
      <c r="I865" s="59"/>
      <c r="J865" s="59"/>
      <c r="K865" s="59"/>
      <c r="L865" s="59"/>
    </row>
    <row r="866">
      <c r="A866" s="59"/>
      <c r="B866" s="59"/>
      <c r="C866" s="59"/>
      <c r="D866" s="59"/>
      <c r="E866" s="59"/>
      <c r="F866" s="59"/>
      <c r="G866" s="59"/>
      <c r="H866" s="59"/>
      <c r="I866" s="59"/>
      <c r="J866" s="59"/>
      <c r="K866" s="59"/>
      <c r="L866" s="59"/>
    </row>
    <row r="867">
      <c r="A867" s="59"/>
      <c r="B867" s="59"/>
      <c r="C867" s="59"/>
      <c r="D867" s="59"/>
      <c r="E867" s="59"/>
      <c r="F867" s="59"/>
      <c r="G867" s="59"/>
      <c r="H867" s="59"/>
      <c r="I867" s="59"/>
      <c r="J867" s="59"/>
      <c r="K867" s="59"/>
      <c r="L867" s="59"/>
    </row>
    <row r="868">
      <c r="A868" s="59"/>
      <c r="B868" s="59"/>
      <c r="C868" s="59"/>
      <c r="D868" s="59"/>
      <c r="E868" s="59"/>
      <c r="F868" s="59"/>
      <c r="G868" s="59"/>
      <c r="H868" s="59"/>
      <c r="I868" s="59"/>
      <c r="J868" s="59"/>
      <c r="K868" s="59"/>
      <c r="L868" s="59"/>
    </row>
    <row r="869">
      <c r="A869" s="59"/>
      <c r="B869" s="59"/>
      <c r="C869" s="59"/>
      <c r="D869" s="59"/>
      <c r="E869" s="59"/>
      <c r="F869" s="59"/>
      <c r="G869" s="59"/>
      <c r="H869" s="59"/>
      <c r="I869" s="59"/>
      <c r="J869" s="59"/>
      <c r="K869" s="59"/>
      <c r="L869" s="59"/>
    </row>
    <row r="870">
      <c r="A870" s="59"/>
      <c r="B870" s="59"/>
      <c r="C870" s="59"/>
      <c r="D870" s="59"/>
      <c r="E870" s="59"/>
      <c r="F870" s="59"/>
      <c r="G870" s="59"/>
      <c r="H870" s="59"/>
      <c r="I870" s="59"/>
      <c r="J870" s="59"/>
      <c r="K870" s="59"/>
      <c r="L870" s="59"/>
    </row>
    <row r="871">
      <c r="A871" s="59"/>
      <c r="B871" s="59"/>
      <c r="C871" s="59"/>
      <c r="D871" s="59"/>
      <c r="E871" s="59"/>
      <c r="F871" s="59"/>
      <c r="G871" s="59"/>
      <c r="H871" s="59"/>
      <c r="I871" s="59"/>
      <c r="J871" s="59"/>
      <c r="K871" s="59"/>
      <c r="L871" s="59"/>
    </row>
    <row r="872">
      <c r="A872" s="59"/>
      <c r="B872" s="59"/>
      <c r="C872" s="59"/>
      <c r="D872" s="59"/>
      <c r="E872" s="59"/>
      <c r="F872" s="59"/>
      <c r="G872" s="59"/>
      <c r="H872" s="59"/>
      <c r="I872" s="59"/>
      <c r="J872" s="59"/>
      <c r="K872" s="59"/>
      <c r="L872" s="59"/>
    </row>
    <row r="873">
      <c r="A873" s="59"/>
      <c r="B873" s="59"/>
      <c r="C873" s="59"/>
      <c r="D873" s="59"/>
      <c r="E873" s="59"/>
      <c r="F873" s="59"/>
      <c r="G873" s="59"/>
      <c r="H873" s="59"/>
      <c r="I873" s="59"/>
      <c r="J873" s="59"/>
      <c r="K873" s="59"/>
      <c r="L873" s="59"/>
    </row>
    <row r="874">
      <c r="A874" s="59"/>
      <c r="B874" s="59"/>
      <c r="C874" s="59"/>
      <c r="D874" s="59"/>
      <c r="E874" s="59"/>
      <c r="F874" s="59"/>
      <c r="G874" s="59"/>
      <c r="H874" s="59"/>
      <c r="I874" s="59"/>
      <c r="J874" s="59"/>
      <c r="K874" s="59"/>
      <c r="L874" s="59"/>
    </row>
    <row r="875">
      <c r="A875" s="59"/>
      <c r="B875" s="59"/>
      <c r="C875" s="59"/>
      <c r="D875" s="59"/>
      <c r="E875" s="59"/>
      <c r="F875" s="59"/>
      <c r="G875" s="59"/>
      <c r="H875" s="59"/>
      <c r="I875" s="59"/>
      <c r="J875" s="59"/>
      <c r="K875" s="59"/>
      <c r="L875" s="59"/>
    </row>
    <row r="876">
      <c r="A876" s="59"/>
      <c r="B876" s="59"/>
      <c r="C876" s="59"/>
      <c r="D876" s="59"/>
      <c r="E876" s="59"/>
      <c r="F876" s="59"/>
      <c r="G876" s="59"/>
      <c r="H876" s="59"/>
      <c r="I876" s="59"/>
      <c r="J876" s="59"/>
      <c r="K876" s="59"/>
      <c r="L876" s="59"/>
    </row>
    <row r="877">
      <c r="A877" s="59"/>
      <c r="B877" s="59"/>
      <c r="C877" s="59"/>
      <c r="D877" s="59"/>
      <c r="E877" s="59"/>
      <c r="F877" s="59"/>
      <c r="G877" s="59"/>
      <c r="H877" s="59"/>
      <c r="I877" s="59"/>
      <c r="J877" s="59"/>
      <c r="K877" s="59"/>
      <c r="L877" s="59"/>
    </row>
    <row r="878">
      <c r="A878" s="59"/>
      <c r="B878" s="59"/>
      <c r="C878" s="59"/>
      <c r="D878" s="59"/>
      <c r="E878" s="59"/>
      <c r="F878" s="59"/>
      <c r="G878" s="59"/>
      <c r="H878" s="59"/>
      <c r="I878" s="59"/>
      <c r="J878" s="59"/>
      <c r="K878" s="59"/>
      <c r="L878" s="59"/>
    </row>
    <row r="879">
      <c r="A879" s="59"/>
      <c r="B879" s="59"/>
      <c r="C879" s="59"/>
      <c r="D879" s="59"/>
      <c r="E879" s="59"/>
      <c r="F879" s="59"/>
      <c r="G879" s="59"/>
      <c r="H879" s="59"/>
      <c r="I879" s="59"/>
      <c r="J879" s="59"/>
      <c r="K879" s="59"/>
      <c r="L879" s="59"/>
    </row>
    <row r="880">
      <c r="A880" s="59"/>
      <c r="B880" s="59"/>
      <c r="C880" s="59"/>
      <c r="D880" s="59"/>
      <c r="E880" s="59"/>
      <c r="F880" s="59"/>
      <c r="G880" s="59"/>
      <c r="H880" s="59"/>
      <c r="I880" s="59"/>
      <c r="J880" s="59"/>
      <c r="K880" s="59"/>
      <c r="L880" s="59"/>
    </row>
    <row r="881">
      <c r="A881" s="59"/>
      <c r="B881" s="59"/>
      <c r="C881" s="59"/>
      <c r="D881" s="59"/>
      <c r="E881" s="59"/>
      <c r="F881" s="59"/>
      <c r="G881" s="59"/>
      <c r="H881" s="59"/>
      <c r="I881" s="59"/>
      <c r="J881" s="59"/>
      <c r="K881" s="59"/>
      <c r="L881" s="59"/>
    </row>
    <row r="882">
      <c r="A882" s="59"/>
      <c r="B882" s="59"/>
      <c r="C882" s="59"/>
      <c r="D882" s="59"/>
      <c r="E882" s="59"/>
      <c r="F882" s="59"/>
      <c r="G882" s="59"/>
      <c r="H882" s="59"/>
      <c r="I882" s="59"/>
      <c r="J882" s="59"/>
      <c r="K882" s="59"/>
      <c r="L882" s="59"/>
    </row>
    <row r="883">
      <c r="A883" s="59"/>
      <c r="B883" s="59"/>
      <c r="C883" s="59"/>
      <c r="D883" s="59"/>
      <c r="E883" s="59"/>
      <c r="F883" s="59"/>
      <c r="G883" s="59"/>
      <c r="H883" s="59"/>
      <c r="I883" s="59"/>
      <c r="J883" s="59"/>
      <c r="K883" s="59"/>
      <c r="L883" s="59"/>
    </row>
    <row r="884">
      <c r="A884" s="59"/>
      <c r="B884" s="59"/>
      <c r="C884" s="59"/>
      <c r="D884" s="59"/>
      <c r="E884" s="59"/>
      <c r="F884" s="59"/>
      <c r="G884" s="59"/>
      <c r="H884" s="59"/>
      <c r="I884" s="59"/>
      <c r="J884" s="59"/>
      <c r="K884" s="59"/>
      <c r="L884" s="59"/>
    </row>
    <row r="885">
      <c r="A885" s="59"/>
      <c r="B885" s="59"/>
      <c r="C885" s="59"/>
      <c r="D885" s="59"/>
      <c r="E885" s="59"/>
      <c r="F885" s="59"/>
      <c r="G885" s="59"/>
      <c r="H885" s="59"/>
      <c r="I885" s="59"/>
      <c r="J885" s="59"/>
      <c r="K885" s="59"/>
      <c r="L885" s="59"/>
    </row>
    <row r="886">
      <c r="A886" s="59"/>
      <c r="B886" s="59"/>
      <c r="C886" s="59"/>
      <c r="D886" s="59"/>
      <c r="E886" s="59"/>
      <c r="F886" s="59"/>
      <c r="G886" s="59"/>
      <c r="H886" s="59"/>
      <c r="I886" s="59"/>
      <c r="J886" s="59"/>
      <c r="K886" s="59"/>
      <c r="L886" s="59"/>
    </row>
    <row r="887">
      <c r="A887" s="59"/>
      <c r="B887" s="59"/>
      <c r="C887" s="59"/>
      <c r="D887" s="59"/>
      <c r="E887" s="59"/>
      <c r="F887" s="59"/>
      <c r="G887" s="59"/>
      <c r="H887" s="59"/>
      <c r="I887" s="59"/>
      <c r="J887" s="59"/>
      <c r="K887" s="59"/>
      <c r="L887" s="59"/>
    </row>
    <row r="888">
      <c r="A888" s="59"/>
      <c r="B888" s="59"/>
      <c r="C888" s="59"/>
      <c r="D888" s="59"/>
      <c r="E888" s="59"/>
      <c r="F888" s="59"/>
      <c r="G888" s="59"/>
      <c r="H888" s="59"/>
      <c r="I888" s="59"/>
      <c r="J888" s="59"/>
      <c r="K888" s="59"/>
      <c r="L888" s="59"/>
    </row>
    <row r="889">
      <c r="A889" s="59"/>
      <c r="B889" s="59"/>
      <c r="C889" s="59"/>
      <c r="D889" s="59"/>
      <c r="E889" s="59"/>
      <c r="F889" s="59"/>
      <c r="G889" s="59"/>
      <c r="H889" s="59"/>
      <c r="I889" s="59"/>
      <c r="J889" s="59"/>
      <c r="K889" s="59"/>
      <c r="L889" s="59"/>
    </row>
    <row r="890">
      <c r="A890" s="59"/>
      <c r="B890" s="59"/>
      <c r="C890" s="59"/>
      <c r="D890" s="59"/>
      <c r="E890" s="59"/>
      <c r="F890" s="59"/>
      <c r="G890" s="59"/>
      <c r="H890" s="59"/>
      <c r="I890" s="59"/>
      <c r="J890" s="59"/>
      <c r="K890" s="59"/>
      <c r="L890" s="59"/>
    </row>
    <row r="891">
      <c r="A891" s="59"/>
      <c r="B891" s="59"/>
      <c r="C891" s="59"/>
      <c r="D891" s="59"/>
      <c r="E891" s="59"/>
      <c r="F891" s="59"/>
      <c r="G891" s="59"/>
      <c r="H891" s="59"/>
      <c r="I891" s="59"/>
      <c r="J891" s="59"/>
      <c r="K891" s="59"/>
      <c r="L891" s="59"/>
    </row>
    <row r="892">
      <c r="A892" s="59"/>
      <c r="B892" s="59"/>
      <c r="C892" s="59"/>
      <c r="D892" s="59"/>
      <c r="E892" s="59"/>
      <c r="F892" s="59"/>
      <c r="G892" s="59"/>
      <c r="H892" s="59"/>
      <c r="I892" s="59"/>
      <c r="J892" s="59"/>
      <c r="K892" s="59"/>
      <c r="L892" s="59"/>
    </row>
    <row r="893">
      <c r="A893" s="59"/>
      <c r="B893" s="59"/>
      <c r="C893" s="59"/>
      <c r="D893" s="59"/>
      <c r="E893" s="59"/>
      <c r="F893" s="59"/>
      <c r="G893" s="59"/>
      <c r="H893" s="59"/>
      <c r="I893" s="59"/>
      <c r="J893" s="59"/>
      <c r="K893" s="59"/>
      <c r="L893" s="59"/>
    </row>
    <row r="894">
      <c r="A894" s="59"/>
      <c r="B894" s="59"/>
      <c r="C894" s="59"/>
      <c r="D894" s="59"/>
      <c r="E894" s="59"/>
      <c r="F894" s="59"/>
      <c r="G894" s="59"/>
      <c r="H894" s="59"/>
      <c r="I894" s="59"/>
      <c r="J894" s="59"/>
      <c r="K894" s="59"/>
      <c r="L894" s="59"/>
    </row>
    <row r="895">
      <c r="A895" s="59"/>
      <c r="B895" s="59"/>
      <c r="C895" s="59"/>
      <c r="D895" s="59"/>
      <c r="E895" s="59"/>
      <c r="F895" s="59"/>
      <c r="G895" s="59"/>
      <c r="H895" s="59"/>
      <c r="I895" s="59"/>
      <c r="J895" s="59"/>
      <c r="K895" s="59"/>
      <c r="L895" s="59"/>
    </row>
    <row r="896">
      <c r="A896" s="59"/>
      <c r="B896" s="59"/>
      <c r="C896" s="59"/>
      <c r="D896" s="59"/>
      <c r="E896" s="59"/>
      <c r="F896" s="59"/>
      <c r="G896" s="59"/>
      <c r="H896" s="59"/>
      <c r="I896" s="59"/>
      <c r="J896" s="59"/>
      <c r="K896" s="59"/>
      <c r="L896" s="59"/>
    </row>
    <row r="897">
      <c r="A897" s="59"/>
      <c r="B897" s="59"/>
      <c r="C897" s="59"/>
      <c r="D897" s="59"/>
      <c r="E897" s="59"/>
      <c r="F897" s="59"/>
      <c r="G897" s="59"/>
      <c r="H897" s="59"/>
      <c r="I897" s="59"/>
      <c r="J897" s="59"/>
      <c r="K897" s="59"/>
      <c r="L897" s="59"/>
    </row>
    <row r="898">
      <c r="A898" s="59"/>
      <c r="B898" s="59"/>
      <c r="C898" s="59"/>
      <c r="D898" s="59"/>
      <c r="E898" s="59"/>
      <c r="F898" s="59"/>
      <c r="G898" s="59"/>
      <c r="H898" s="59"/>
      <c r="I898" s="59"/>
      <c r="J898" s="59"/>
      <c r="K898" s="59"/>
      <c r="L898" s="59"/>
    </row>
    <row r="899">
      <c r="A899" s="59"/>
      <c r="B899" s="59"/>
      <c r="C899" s="59"/>
      <c r="D899" s="59"/>
      <c r="E899" s="59"/>
      <c r="F899" s="59"/>
      <c r="G899" s="59"/>
      <c r="H899" s="59"/>
      <c r="I899" s="59"/>
      <c r="J899" s="59"/>
      <c r="K899" s="59"/>
      <c r="L899" s="59"/>
    </row>
    <row r="900">
      <c r="A900" s="59"/>
      <c r="B900" s="59"/>
      <c r="C900" s="59"/>
      <c r="D900" s="59"/>
      <c r="E900" s="59"/>
      <c r="F900" s="59"/>
      <c r="G900" s="59"/>
      <c r="H900" s="59"/>
      <c r="I900" s="59"/>
      <c r="J900" s="59"/>
      <c r="K900" s="59"/>
      <c r="L900" s="59"/>
    </row>
    <row r="901">
      <c r="A901" s="59"/>
      <c r="B901" s="59"/>
      <c r="C901" s="59"/>
      <c r="D901" s="59"/>
      <c r="E901" s="59"/>
      <c r="F901" s="59"/>
      <c r="G901" s="59"/>
      <c r="H901" s="59"/>
      <c r="I901" s="59"/>
      <c r="J901" s="59"/>
      <c r="K901" s="59"/>
      <c r="L901" s="59"/>
    </row>
    <row r="902">
      <c r="A902" s="59"/>
      <c r="B902" s="59"/>
      <c r="C902" s="59"/>
      <c r="D902" s="59"/>
      <c r="E902" s="59"/>
      <c r="F902" s="59"/>
      <c r="G902" s="59"/>
      <c r="H902" s="59"/>
      <c r="I902" s="59"/>
      <c r="J902" s="59"/>
      <c r="K902" s="59"/>
      <c r="L902" s="59"/>
    </row>
    <row r="903">
      <c r="A903" s="59"/>
      <c r="B903" s="59"/>
      <c r="C903" s="59"/>
      <c r="D903" s="59"/>
      <c r="E903" s="59"/>
      <c r="F903" s="59"/>
      <c r="G903" s="59"/>
      <c r="H903" s="59"/>
      <c r="I903" s="59"/>
      <c r="J903" s="59"/>
      <c r="K903" s="59"/>
      <c r="L903" s="59"/>
    </row>
    <row r="904">
      <c r="A904" s="59"/>
      <c r="B904" s="59"/>
      <c r="C904" s="59"/>
      <c r="D904" s="59"/>
      <c r="E904" s="59"/>
      <c r="F904" s="59"/>
      <c r="G904" s="59"/>
      <c r="H904" s="59"/>
      <c r="I904" s="59"/>
      <c r="J904" s="59"/>
      <c r="K904" s="59"/>
      <c r="L904" s="59"/>
    </row>
    <row r="905">
      <c r="A905" s="59"/>
      <c r="B905" s="59"/>
      <c r="C905" s="59"/>
      <c r="D905" s="59"/>
      <c r="E905" s="59"/>
      <c r="F905" s="59"/>
      <c r="G905" s="59"/>
      <c r="H905" s="59"/>
      <c r="I905" s="59"/>
      <c r="J905" s="59"/>
      <c r="K905" s="59"/>
      <c r="L905" s="59"/>
    </row>
    <row r="906">
      <c r="A906" s="59"/>
      <c r="B906" s="59"/>
      <c r="C906" s="59"/>
      <c r="D906" s="59"/>
      <c r="E906" s="59"/>
      <c r="F906" s="59"/>
      <c r="G906" s="59"/>
      <c r="H906" s="59"/>
      <c r="I906" s="59"/>
      <c r="J906" s="59"/>
      <c r="K906" s="59"/>
      <c r="L906" s="59"/>
    </row>
    <row r="907">
      <c r="A907" s="59"/>
      <c r="B907" s="59"/>
      <c r="C907" s="59"/>
      <c r="D907" s="59"/>
      <c r="E907" s="59"/>
      <c r="F907" s="59"/>
      <c r="G907" s="59"/>
      <c r="H907" s="59"/>
      <c r="I907" s="59"/>
      <c r="J907" s="59"/>
      <c r="K907" s="59"/>
      <c r="L907" s="59"/>
    </row>
    <row r="908">
      <c r="A908" s="59"/>
      <c r="B908" s="59"/>
      <c r="C908" s="59"/>
      <c r="D908" s="59"/>
      <c r="E908" s="59"/>
      <c r="F908" s="59"/>
      <c r="G908" s="59"/>
      <c r="H908" s="59"/>
      <c r="I908" s="59"/>
      <c r="J908" s="59"/>
      <c r="K908" s="59"/>
      <c r="L908" s="59"/>
    </row>
    <row r="909">
      <c r="A909" s="59"/>
      <c r="B909" s="59"/>
      <c r="C909" s="59"/>
      <c r="D909" s="59"/>
      <c r="E909" s="59"/>
      <c r="F909" s="59"/>
      <c r="G909" s="59"/>
      <c r="H909" s="59"/>
      <c r="I909" s="59"/>
      <c r="J909" s="59"/>
      <c r="K909" s="59"/>
      <c r="L909" s="59"/>
    </row>
    <row r="910">
      <c r="A910" s="59"/>
      <c r="B910" s="59"/>
      <c r="C910" s="59"/>
      <c r="D910" s="59"/>
      <c r="E910" s="59"/>
      <c r="F910" s="59"/>
      <c r="G910" s="59"/>
      <c r="H910" s="59"/>
      <c r="I910" s="59"/>
      <c r="J910" s="59"/>
      <c r="K910" s="59"/>
      <c r="L910" s="59"/>
    </row>
    <row r="911">
      <c r="A911" s="59"/>
      <c r="B911" s="59"/>
      <c r="C911" s="59"/>
      <c r="D911" s="59"/>
      <c r="E911" s="59"/>
      <c r="F911" s="59"/>
      <c r="G911" s="59"/>
      <c r="H911" s="59"/>
      <c r="I911" s="59"/>
      <c r="J911" s="59"/>
      <c r="K911" s="59"/>
      <c r="L911" s="59"/>
    </row>
    <row r="912">
      <c r="A912" s="59"/>
      <c r="B912" s="59"/>
      <c r="C912" s="59"/>
      <c r="D912" s="59"/>
      <c r="E912" s="59"/>
      <c r="F912" s="59"/>
      <c r="G912" s="59"/>
      <c r="H912" s="59"/>
      <c r="I912" s="59"/>
      <c r="J912" s="59"/>
      <c r="K912" s="59"/>
      <c r="L912" s="59"/>
    </row>
    <row r="913">
      <c r="A913" s="59"/>
      <c r="B913" s="59"/>
      <c r="C913" s="59"/>
      <c r="D913" s="59"/>
      <c r="E913" s="59"/>
      <c r="F913" s="59"/>
      <c r="G913" s="59"/>
      <c r="H913" s="59"/>
      <c r="I913" s="59"/>
      <c r="J913" s="59"/>
      <c r="K913" s="59"/>
      <c r="L913" s="59"/>
    </row>
    <row r="914">
      <c r="A914" s="59"/>
      <c r="B914" s="59"/>
      <c r="C914" s="59"/>
      <c r="D914" s="59"/>
      <c r="E914" s="59"/>
      <c r="F914" s="59"/>
      <c r="G914" s="59"/>
      <c r="H914" s="59"/>
      <c r="I914" s="59"/>
      <c r="J914" s="59"/>
      <c r="K914" s="59"/>
      <c r="L914" s="59"/>
    </row>
    <row r="915">
      <c r="A915" s="59"/>
      <c r="B915" s="59"/>
      <c r="C915" s="59"/>
      <c r="D915" s="59"/>
      <c r="E915" s="59"/>
      <c r="F915" s="59"/>
      <c r="G915" s="59"/>
      <c r="H915" s="59"/>
      <c r="I915" s="59"/>
      <c r="J915" s="59"/>
      <c r="K915" s="59"/>
      <c r="L915" s="59"/>
    </row>
    <row r="916">
      <c r="A916" s="59"/>
      <c r="B916" s="59"/>
      <c r="C916" s="59"/>
      <c r="D916" s="59"/>
      <c r="E916" s="59"/>
      <c r="F916" s="59"/>
      <c r="G916" s="59"/>
      <c r="H916" s="59"/>
      <c r="I916" s="59"/>
      <c r="J916" s="59"/>
      <c r="K916" s="59"/>
      <c r="L916" s="59"/>
    </row>
    <row r="917">
      <c r="A917" s="59"/>
      <c r="B917" s="59"/>
      <c r="C917" s="59"/>
      <c r="D917" s="59"/>
      <c r="E917" s="59"/>
      <c r="F917" s="59"/>
      <c r="G917" s="59"/>
      <c r="H917" s="59"/>
      <c r="I917" s="59"/>
      <c r="J917" s="59"/>
      <c r="K917" s="59"/>
      <c r="L917" s="59"/>
    </row>
    <row r="918">
      <c r="A918" s="59"/>
      <c r="B918" s="59"/>
      <c r="C918" s="59"/>
      <c r="D918" s="59"/>
      <c r="E918" s="59"/>
      <c r="F918" s="59"/>
      <c r="G918" s="59"/>
      <c r="H918" s="59"/>
      <c r="I918" s="59"/>
      <c r="J918" s="59"/>
      <c r="K918" s="59"/>
      <c r="L918" s="59"/>
    </row>
    <row r="919">
      <c r="A919" s="59"/>
      <c r="B919" s="59"/>
      <c r="C919" s="59"/>
      <c r="D919" s="59"/>
      <c r="E919" s="59"/>
      <c r="F919" s="59"/>
      <c r="G919" s="59"/>
      <c r="H919" s="59"/>
      <c r="I919" s="59"/>
      <c r="J919" s="59"/>
      <c r="K919" s="59"/>
      <c r="L919" s="59"/>
    </row>
    <row r="920">
      <c r="A920" s="59"/>
      <c r="B920" s="59"/>
      <c r="C920" s="59"/>
      <c r="D920" s="59"/>
      <c r="E920" s="59"/>
      <c r="F920" s="59"/>
      <c r="G920" s="59"/>
      <c r="H920" s="59"/>
      <c r="I920" s="59"/>
      <c r="J920" s="59"/>
      <c r="K920" s="59"/>
      <c r="L920" s="59"/>
    </row>
    <row r="921">
      <c r="A921" s="59"/>
      <c r="B921" s="59"/>
      <c r="C921" s="59"/>
      <c r="D921" s="59"/>
      <c r="E921" s="59"/>
      <c r="F921" s="59"/>
      <c r="G921" s="59"/>
      <c r="H921" s="59"/>
      <c r="I921" s="59"/>
      <c r="J921" s="59"/>
      <c r="K921" s="59"/>
      <c r="L921" s="59"/>
    </row>
    <row r="922">
      <c r="A922" s="59"/>
      <c r="B922" s="59"/>
      <c r="C922" s="59"/>
      <c r="D922" s="59"/>
      <c r="E922" s="59"/>
      <c r="F922" s="59"/>
      <c r="G922" s="59"/>
      <c r="H922" s="59"/>
      <c r="I922" s="59"/>
      <c r="J922" s="59"/>
      <c r="K922" s="59"/>
      <c r="L922" s="59"/>
    </row>
    <row r="923">
      <c r="A923" s="59"/>
      <c r="B923" s="59"/>
      <c r="C923" s="59"/>
      <c r="D923" s="59"/>
      <c r="E923" s="59"/>
      <c r="F923" s="59"/>
      <c r="G923" s="59"/>
      <c r="H923" s="59"/>
      <c r="I923" s="59"/>
      <c r="J923" s="59"/>
      <c r="K923" s="59"/>
      <c r="L923" s="59"/>
    </row>
    <row r="924">
      <c r="A924" s="59"/>
      <c r="B924" s="59"/>
      <c r="C924" s="59"/>
      <c r="D924" s="59"/>
      <c r="E924" s="59"/>
      <c r="F924" s="59"/>
      <c r="G924" s="59"/>
      <c r="H924" s="59"/>
      <c r="I924" s="59"/>
      <c r="J924" s="59"/>
      <c r="K924" s="59"/>
      <c r="L924" s="59"/>
    </row>
    <row r="925">
      <c r="A925" s="59"/>
      <c r="B925" s="59"/>
      <c r="C925" s="59"/>
      <c r="D925" s="59"/>
      <c r="E925" s="59"/>
      <c r="F925" s="59"/>
      <c r="G925" s="59"/>
      <c r="H925" s="59"/>
      <c r="I925" s="59"/>
      <c r="J925" s="59"/>
      <c r="K925" s="59"/>
      <c r="L925" s="59"/>
    </row>
    <row r="926">
      <c r="A926" s="59"/>
      <c r="B926" s="59"/>
      <c r="C926" s="59"/>
      <c r="D926" s="59"/>
      <c r="E926" s="59"/>
      <c r="F926" s="59"/>
      <c r="G926" s="59"/>
      <c r="H926" s="59"/>
      <c r="I926" s="59"/>
      <c r="J926" s="59"/>
      <c r="K926" s="59"/>
      <c r="L926" s="59"/>
    </row>
    <row r="927">
      <c r="A927" s="59"/>
      <c r="B927" s="59"/>
      <c r="C927" s="59"/>
      <c r="D927" s="59"/>
      <c r="E927" s="59"/>
      <c r="F927" s="59"/>
      <c r="G927" s="59"/>
      <c r="H927" s="59"/>
      <c r="I927" s="59"/>
      <c r="J927" s="59"/>
      <c r="K927" s="59"/>
      <c r="L927" s="59"/>
    </row>
    <row r="928">
      <c r="A928" s="59"/>
      <c r="B928" s="59"/>
      <c r="C928" s="59"/>
      <c r="D928" s="59"/>
      <c r="E928" s="59"/>
      <c r="F928" s="59"/>
      <c r="G928" s="59"/>
      <c r="H928" s="59"/>
      <c r="I928" s="59"/>
      <c r="J928" s="59"/>
      <c r="K928" s="59"/>
      <c r="L928" s="59"/>
    </row>
    <row r="929">
      <c r="A929" s="59"/>
      <c r="B929" s="59"/>
      <c r="C929" s="59"/>
      <c r="D929" s="59"/>
      <c r="E929" s="59"/>
      <c r="F929" s="59"/>
      <c r="G929" s="59"/>
      <c r="H929" s="59"/>
      <c r="I929" s="59"/>
      <c r="J929" s="59"/>
      <c r="K929" s="59"/>
      <c r="L929" s="59"/>
    </row>
    <row r="930">
      <c r="A930" s="59"/>
      <c r="B930" s="59"/>
      <c r="C930" s="59"/>
      <c r="D930" s="59"/>
      <c r="E930" s="59"/>
      <c r="F930" s="59"/>
      <c r="G930" s="59"/>
      <c r="H930" s="59"/>
      <c r="I930" s="59"/>
      <c r="J930" s="59"/>
      <c r="K930" s="59"/>
      <c r="L930" s="59"/>
    </row>
    <row r="931">
      <c r="A931" s="59"/>
      <c r="B931" s="59"/>
      <c r="C931" s="59"/>
      <c r="D931" s="59"/>
      <c r="E931" s="59"/>
      <c r="F931" s="59"/>
      <c r="G931" s="59"/>
      <c r="H931" s="59"/>
      <c r="I931" s="59"/>
      <c r="J931" s="59"/>
      <c r="K931" s="59"/>
      <c r="L931" s="59"/>
    </row>
    <row r="932">
      <c r="A932" s="59"/>
      <c r="B932" s="59"/>
      <c r="C932" s="59"/>
      <c r="D932" s="59"/>
      <c r="E932" s="59"/>
      <c r="F932" s="59"/>
      <c r="G932" s="59"/>
      <c r="H932" s="59"/>
      <c r="I932" s="59"/>
      <c r="J932" s="59"/>
      <c r="K932" s="59"/>
      <c r="L932" s="59"/>
    </row>
    <row r="933">
      <c r="A933" s="59"/>
      <c r="B933" s="59"/>
      <c r="C933" s="59"/>
      <c r="D933" s="59"/>
      <c r="E933" s="59"/>
      <c r="F933" s="59"/>
      <c r="G933" s="59"/>
      <c r="H933" s="59"/>
      <c r="I933" s="59"/>
      <c r="J933" s="59"/>
      <c r="K933" s="59"/>
      <c r="L933" s="59"/>
    </row>
    <row r="934">
      <c r="A934" s="59"/>
      <c r="B934" s="59"/>
      <c r="C934" s="59"/>
      <c r="D934" s="59"/>
      <c r="E934" s="59"/>
      <c r="F934" s="59"/>
      <c r="G934" s="59"/>
      <c r="H934" s="59"/>
      <c r="I934" s="59"/>
      <c r="J934" s="59"/>
      <c r="K934" s="59"/>
      <c r="L934" s="59"/>
    </row>
    <row r="935">
      <c r="A935" s="59"/>
      <c r="B935" s="59"/>
      <c r="C935" s="59"/>
      <c r="D935" s="59"/>
      <c r="E935" s="59"/>
      <c r="F935" s="59"/>
      <c r="G935" s="59"/>
      <c r="H935" s="59"/>
      <c r="I935" s="59"/>
      <c r="J935" s="59"/>
      <c r="K935" s="59"/>
      <c r="L935" s="59"/>
    </row>
    <row r="936">
      <c r="A936" s="59"/>
      <c r="B936" s="59"/>
      <c r="C936" s="59"/>
      <c r="D936" s="59"/>
      <c r="E936" s="59"/>
      <c r="F936" s="59"/>
      <c r="G936" s="59"/>
      <c r="H936" s="59"/>
      <c r="I936" s="59"/>
      <c r="J936" s="59"/>
      <c r="K936" s="59"/>
      <c r="L936" s="59"/>
    </row>
    <row r="937">
      <c r="A937" s="59"/>
      <c r="B937" s="59"/>
      <c r="C937" s="59"/>
      <c r="D937" s="59"/>
      <c r="E937" s="59"/>
      <c r="F937" s="59"/>
      <c r="G937" s="59"/>
      <c r="H937" s="59"/>
      <c r="I937" s="59"/>
      <c r="J937" s="59"/>
      <c r="K937" s="59"/>
      <c r="L937" s="59"/>
    </row>
    <row r="938">
      <c r="A938" s="59"/>
      <c r="B938" s="59"/>
      <c r="C938" s="59"/>
      <c r="D938" s="59"/>
      <c r="E938" s="59"/>
      <c r="F938" s="59"/>
      <c r="G938" s="59"/>
      <c r="H938" s="59"/>
      <c r="I938" s="59"/>
      <c r="J938" s="59"/>
      <c r="K938" s="59"/>
      <c r="L938" s="59"/>
    </row>
    <row r="939">
      <c r="A939" s="59"/>
      <c r="B939" s="59"/>
      <c r="C939" s="59"/>
      <c r="D939" s="59"/>
      <c r="E939" s="59"/>
      <c r="F939" s="59"/>
      <c r="G939" s="59"/>
      <c r="H939" s="59"/>
      <c r="I939" s="59"/>
      <c r="J939" s="59"/>
      <c r="K939" s="59"/>
      <c r="L939" s="59"/>
    </row>
    <row r="940">
      <c r="A940" s="59"/>
      <c r="B940" s="59"/>
      <c r="C940" s="59"/>
      <c r="D940" s="59"/>
      <c r="E940" s="59"/>
      <c r="F940" s="59"/>
      <c r="G940" s="59"/>
      <c r="H940" s="59"/>
      <c r="I940" s="59"/>
      <c r="J940" s="59"/>
      <c r="K940" s="59"/>
      <c r="L940" s="59"/>
    </row>
    <row r="941">
      <c r="A941" s="59"/>
      <c r="B941" s="59"/>
      <c r="C941" s="59"/>
      <c r="D941" s="59"/>
      <c r="E941" s="59"/>
      <c r="F941" s="59"/>
      <c r="G941" s="59"/>
      <c r="H941" s="59"/>
      <c r="I941" s="59"/>
      <c r="J941" s="59"/>
      <c r="K941" s="59"/>
      <c r="L941" s="59"/>
    </row>
    <row r="942">
      <c r="A942" s="59"/>
      <c r="B942" s="59"/>
      <c r="C942" s="59"/>
      <c r="D942" s="59"/>
      <c r="E942" s="59"/>
      <c r="F942" s="59"/>
      <c r="G942" s="59"/>
      <c r="H942" s="59"/>
      <c r="I942" s="59"/>
      <c r="J942" s="59"/>
      <c r="K942" s="59"/>
      <c r="L942" s="59"/>
    </row>
    <row r="943">
      <c r="A943" s="59"/>
      <c r="B943" s="59"/>
      <c r="C943" s="59"/>
      <c r="D943" s="59"/>
      <c r="E943" s="59"/>
      <c r="F943" s="59"/>
      <c r="G943" s="59"/>
      <c r="H943" s="59"/>
      <c r="I943" s="59"/>
      <c r="J943" s="59"/>
      <c r="K943" s="59"/>
      <c r="L943" s="59"/>
    </row>
    <row r="944">
      <c r="A944" s="59"/>
      <c r="B944" s="59"/>
      <c r="C944" s="59"/>
      <c r="D944" s="59"/>
      <c r="E944" s="59"/>
      <c r="F944" s="59"/>
      <c r="G944" s="59"/>
      <c r="H944" s="59"/>
      <c r="I944" s="59"/>
      <c r="J944" s="59"/>
      <c r="K944" s="59"/>
      <c r="L944" s="59"/>
    </row>
    <row r="945">
      <c r="A945" s="59"/>
      <c r="B945" s="59"/>
      <c r="C945" s="59"/>
      <c r="D945" s="59"/>
      <c r="E945" s="59"/>
      <c r="F945" s="59"/>
      <c r="G945" s="59"/>
      <c r="H945" s="59"/>
      <c r="I945" s="59"/>
      <c r="J945" s="59"/>
      <c r="K945" s="59"/>
      <c r="L945" s="59"/>
    </row>
    <row r="946">
      <c r="A946" s="59"/>
      <c r="B946" s="59"/>
      <c r="C946" s="59"/>
      <c r="D946" s="59"/>
      <c r="E946" s="59"/>
      <c r="F946" s="59"/>
      <c r="G946" s="59"/>
      <c r="H946" s="59"/>
      <c r="I946" s="59"/>
      <c r="J946" s="59"/>
      <c r="K946" s="59"/>
      <c r="L946" s="59"/>
    </row>
    <row r="947">
      <c r="A947" s="59"/>
      <c r="B947" s="59"/>
      <c r="C947" s="59"/>
      <c r="D947" s="59"/>
      <c r="E947" s="59"/>
      <c r="F947" s="59"/>
      <c r="G947" s="59"/>
      <c r="H947" s="59"/>
      <c r="I947" s="59"/>
      <c r="J947" s="59"/>
      <c r="K947" s="59"/>
      <c r="L947" s="59"/>
    </row>
    <row r="948">
      <c r="A948" s="59"/>
      <c r="B948" s="59"/>
      <c r="C948" s="59"/>
      <c r="D948" s="59"/>
      <c r="E948" s="59"/>
      <c r="F948" s="59"/>
      <c r="G948" s="59"/>
      <c r="H948" s="59"/>
      <c r="I948" s="59"/>
      <c r="J948" s="59"/>
      <c r="K948" s="59"/>
      <c r="L948" s="59"/>
    </row>
    <row r="949">
      <c r="A949" s="59"/>
      <c r="B949" s="59"/>
      <c r="C949" s="59"/>
      <c r="D949" s="59"/>
      <c r="E949" s="59"/>
      <c r="F949" s="59"/>
      <c r="G949" s="59"/>
      <c r="H949" s="59"/>
      <c r="I949" s="59"/>
      <c r="J949" s="59"/>
      <c r="K949" s="59"/>
      <c r="L949" s="59"/>
    </row>
    <row r="950">
      <c r="A950" s="59"/>
      <c r="B950" s="59"/>
      <c r="C950" s="59"/>
      <c r="D950" s="59"/>
      <c r="E950" s="59"/>
      <c r="F950" s="59"/>
      <c r="G950" s="59"/>
      <c r="H950" s="59"/>
      <c r="I950" s="59"/>
      <c r="J950" s="59"/>
      <c r="K950" s="59"/>
      <c r="L950" s="59"/>
    </row>
    <row r="951">
      <c r="A951" s="59"/>
      <c r="B951" s="59"/>
      <c r="C951" s="59"/>
      <c r="D951" s="59"/>
      <c r="E951" s="59"/>
      <c r="F951" s="59"/>
      <c r="G951" s="59"/>
      <c r="H951" s="59"/>
      <c r="I951" s="59"/>
      <c r="J951" s="59"/>
      <c r="K951" s="59"/>
      <c r="L951" s="59"/>
    </row>
    <row r="952">
      <c r="A952" s="59"/>
      <c r="B952" s="59"/>
      <c r="C952" s="59"/>
      <c r="D952" s="59"/>
      <c r="E952" s="59"/>
      <c r="F952" s="59"/>
      <c r="G952" s="59"/>
      <c r="H952" s="59"/>
      <c r="I952" s="59"/>
      <c r="J952" s="59"/>
      <c r="K952" s="59"/>
      <c r="L952" s="59"/>
    </row>
    <row r="953">
      <c r="A953" s="59"/>
      <c r="B953" s="59"/>
      <c r="C953" s="59"/>
      <c r="D953" s="59"/>
      <c r="E953" s="59"/>
      <c r="F953" s="59"/>
      <c r="G953" s="59"/>
      <c r="H953" s="59"/>
      <c r="I953" s="59"/>
      <c r="J953" s="59"/>
      <c r="K953" s="59"/>
      <c r="L953" s="59"/>
    </row>
    <row r="954">
      <c r="A954" s="59"/>
      <c r="B954" s="59"/>
      <c r="C954" s="59"/>
      <c r="D954" s="59"/>
      <c r="E954" s="59"/>
      <c r="F954" s="59"/>
      <c r="G954" s="59"/>
      <c r="H954" s="59"/>
      <c r="I954" s="59"/>
      <c r="J954" s="59"/>
      <c r="K954" s="59"/>
      <c r="L954" s="59"/>
    </row>
    <row r="955">
      <c r="A955" s="59"/>
      <c r="B955" s="59"/>
      <c r="C955" s="59"/>
      <c r="D955" s="59"/>
      <c r="E955" s="59"/>
      <c r="F955" s="59"/>
      <c r="G955" s="59"/>
      <c r="H955" s="59"/>
      <c r="I955" s="59"/>
      <c r="J955" s="59"/>
      <c r="K955" s="59"/>
      <c r="L955" s="59"/>
    </row>
    <row r="956">
      <c r="A956" s="59"/>
      <c r="B956" s="59"/>
      <c r="C956" s="59"/>
      <c r="D956" s="59"/>
      <c r="E956" s="59"/>
      <c r="F956" s="59"/>
      <c r="G956" s="59"/>
      <c r="H956" s="59"/>
      <c r="I956" s="59"/>
      <c r="J956" s="59"/>
      <c r="K956" s="59"/>
      <c r="L956" s="59"/>
    </row>
    <row r="957">
      <c r="A957" s="59"/>
      <c r="B957" s="59"/>
      <c r="C957" s="59"/>
      <c r="D957" s="59"/>
      <c r="E957" s="59"/>
      <c r="F957" s="59"/>
      <c r="G957" s="59"/>
      <c r="H957" s="59"/>
      <c r="I957" s="59"/>
      <c r="J957" s="59"/>
      <c r="K957" s="59"/>
      <c r="L957" s="59"/>
    </row>
    <row r="958">
      <c r="A958" s="59"/>
      <c r="B958" s="59"/>
      <c r="C958" s="59"/>
      <c r="D958" s="59"/>
      <c r="E958" s="59"/>
      <c r="F958" s="59"/>
      <c r="G958" s="59"/>
      <c r="H958" s="59"/>
      <c r="I958" s="59"/>
      <c r="J958" s="59"/>
      <c r="K958" s="59"/>
      <c r="L958" s="59"/>
    </row>
    <row r="959">
      <c r="A959" s="59"/>
      <c r="B959" s="59"/>
      <c r="C959" s="59"/>
      <c r="D959" s="59"/>
      <c r="E959" s="59"/>
      <c r="F959" s="59"/>
      <c r="G959" s="59"/>
      <c r="H959" s="59"/>
      <c r="I959" s="59"/>
      <c r="J959" s="59"/>
      <c r="K959" s="59"/>
      <c r="L959" s="59"/>
    </row>
    <row r="960">
      <c r="A960" s="59"/>
      <c r="B960" s="59"/>
      <c r="C960" s="59"/>
      <c r="D960" s="59"/>
      <c r="E960" s="59"/>
      <c r="F960" s="59"/>
      <c r="G960" s="59"/>
      <c r="H960" s="59"/>
      <c r="I960" s="59"/>
      <c r="J960" s="59"/>
      <c r="K960" s="59"/>
      <c r="L960" s="59"/>
    </row>
    <row r="961">
      <c r="A961" s="59"/>
      <c r="B961" s="59"/>
      <c r="C961" s="59"/>
      <c r="D961" s="59"/>
      <c r="E961" s="59"/>
      <c r="F961" s="59"/>
      <c r="G961" s="59"/>
      <c r="H961" s="59"/>
      <c r="I961" s="59"/>
      <c r="J961" s="59"/>
      <c r="K961" s="59"/>
      <c r="L961" s="59"/>
    </row>
    <row r="962">
      <c r="A962" s="59"/>
      <c r="B962" s="59"/>
      <c r="C962" s="59"/>
      <c r="D962" s="59"/>
      <c r="E962" s="59"/>
      <c r="F962" s="59"/>
      <c r="G962" s="59"/>
      <c r="H962" s="59"/>
      <c r="I962" s="59"/>
      <c r="J962" s="59"/>
      <c r="K962" s="59"/>
      <c r="L962" s="59"/>
    </row>
    <row r="963">
      <c r="A963" s="59"/>
      <c r="B963" s="59"/>
      <c r="C963" s="59"/>
      <c r="D963" s="59"/>
      <c r="E963" s="59"/>
      <c r="F963" s="59"/>
      <c r="G963" s="59"/>
      <c r="H963" s="59"/>
      <c r="I963" s="59"/>
      <c r="J963" s="59"/>
      <c r="K963" s="59"/>
      <c r="L963" s="59"/>
    </row>
    <row r="964">
      <c r="A964" s="59"/>
      <c r="B964" s="59"/>
      <c r="C964" s="59"/>
      <c r="D964" s="59"/>
      <c r="E964" s="59"/>
      <c r="F964" s="59"/>
      <c r="G964" s="59"/>
      <c r="H964" s="59"/>
      <c r="I964" s="59"/>
      <c r="J964" s="59"/>
      <c r="K964" s="59"/>
      <c r="L964" s="59"/>
    </row>
    <row r="965">
      <c r="A965" s="59"/>
      <c r="B965" s="59"/>
      <c r="C965" s="59"/>
      <c r="D965" s="59"/>
      <c r="E965" s="59"/>
      <c r="F965" s="59"/>
      <c r="G965" s="59"/>
      <c r="H965" s="59"/>
      <c r="I965" s="59"/>
      <c r="J965" s="59"/>
      <c r="K965" s="59"/>
      <c r="L965" s="59"/>
    </row>
    <row r="966">
      <c r="A966" s="59"/>
      <c r="B966" s="59"/>
      <c r="C966" s="59"/>
      <c r="D966" s="59"/>
      <c r="E966" s="59"/>
      <c r="F966" s="59"/>
      <c r="G966" s="59"/>
      <c r="H966" s="59"/>
      <c r="I966" s="59"/>
      <c r="J966" s="59"/>
      <c r="K966" s="59"/>
      <c r="L966" s="59"/>
    </row>
    <row r="967">
      <c r="A967" s="59"/>
      <c r="B967" s="59"/>
      <c r="C967" s="59"/>
      <c r="D967" s="59"/>
      <c r="E967" s="59"/>
      <c r="F967" s="59"/>
      <c r="G967" s="59"/>
      <c r="H967" s="59"/>
      <c r="I967" s="59"/>
      <c r="J967" s="59"/>
      <c r="K967" s="59"/>
      <c r="L967" s="59"/>
    </row>
    <row r="968">
      <c r="A968" s="59"/>
      <c r="B968" s="59"/>
      <c r="C968" s="59"/>
      <c r="D968" s="59"/>
      <c r="E968" s="59"/>
      <c r="F968" s="59"/>
      <c r="G968" s="59"/>
      <c r="H968" s="59"/>
      <c r="I968" s="59"/>
      <c r="J968" s="59"/>
      <c r="K968" s="59"/>
      <c r="L968" s="59"/>
    </row>
    <row r="969">
      <c r="A969" s="59"/>
      <c r="B969" s="59"/>
      <c r="C969" s="59"/>
      <c r="D969" s="59"/>
      <c r="E969" s="59"/>
      <c r="F969" s="59"/>
      <c r="G969" s="59"/>
      <c r="H969" s="59"/>
      <c r="I969" s="59"/>
      <c r="J969" s="59"/>
      <c r="K969" s="59"/>
      <c r="L969" s="59"/>
    </row>
    <row r="970">
      <c r="A970" s="59"/>
      <c r="B970" s="59"/>
      <c r="C970" s="59"/>
      <c r="D970" s="59"/>
      <c r="E970" s="59"/>
      <c r="F970" s="59"/>
      <c r="G970" s="59"/>
      <c r="H970" s="59"/>
      <c r="I970" s="59"/>
      <c r="J970" s="59"/>
      <c r="K970" s="59"/>
      <c r="L970" s="59"/>
    </row>
    <row r="971">
      <c r="A971" s="59"/>
      <c r="B971" s="59"/>
      <c r="C971" s="59"/>
      <c r="D971" s="59"/>
      <c r="E971" s="59"/>
      <c r="F971" s="59"/>
      <c r="G971" s="59"/>
      <c r="H971" s="59"/>
      <c r="I971" s="59"/>
      <c r="J971" s="59"/>
      <c r="K971" s="59"/>
      <c r="L971" s="59"/>
    </row>
    <row r="972">
      <c r="A972" s="59"/>
      <c r="B972" s="59"/>
      <c r="C972" s="59"/>
      <c r="D972" s="59"/>
      <c r="E972" s="59"/>
      <c r="F972" s="59"/>
      <c r="G972" s="59"/>
      <c r="H972" s="59"/>
      <c r="I972" s="59"/>
      <c r="J972" s="59"/>
      <c r="K972" s="59"/>
      <c r="L972" s="59"/>
    </row>
    <row r="973">
      <c r="A973" s="59"/>
      <c r="B973" s="59"/>
      <c r="C973" s="59"/>
      <c r="D973" s="59"/>
      <c r="E973" s="59"/>
      <c r="F973" s="59"/>
      <c r="G973" s="59"/>
      <c r="H973" s="59"/>
      <c r="I973" s="59"/>
      <c r="J973" s="59"/>
      <c r="K973" s="59"/>
      <c r="L973" s="59"/>
    </row>
    <row r="974">
      <c r="A974" s="59"/>
      <c r="B974" s="59"/>
      <c r="C974" s="59"/>
      <c r="D974" s="59"/>
      <c r="E974" s="59"/>
      <c r="F974" s="59"/>
      <c r="G974" s="59"/>
      <c r="H974" s="59"/>
      <c r="I974" s="59"/>
      <c r="J974" s="59"/>
      <c r="K974" s="59"/>
      <c r="L974" s="59"/>
    </row>
    <row r="975">
      <c r="A975" s="59"/>
      <c r="B975" s="59"/>
      <c r="C975" s="59"/>
      <c r="D975" s="59"/>
      <c r="E975" s="59"/>
      <c r="F975" s="59"/>
      <c r="G975" s="59"/>
      <c r="H975" s="59"/>
      <c r="I975" s="59"/>
      <c r="J975" s="59"/>
      <c r="K975" s="59"/>
      <c r="L975" s="59"/>
    </row>
    <row r="976">
      <c r="A976" s="59"/>
      <c r="B976" s="59"/>
      <c r="C976" s="59"/>
      <c r="D976" s="59"/>
      <c r="E976" s="59"/>
      <c r="F976" s="59"/>
      <c r="G976" s="59"/>
      <c r="H976" s="59"/>
      <c r="I976" s="59"/>
      <c r="J976" s="59"/>
      <c r="K976" s="59"/>
      <c r="L976" s="59"/>
    </row>
    <row r="977">
      <c r="A977" s="59"/>
      <c r="B977" s="59"/>
      <c r="C977" s="59"/>
      <c r="D977" s="59"/>
      <c r="E977" s="59"/>
      <c r="F977" s="59"/>
      <c r="G977" s="59"/>
      <c r="H977" s="59"/>
      <c r="I977" s="59"/>
      <c r="J977" s="59"/>
      <c r="K977" s="59"/>
      <c r="L977" s="59"/>
    </row>
    <row r="978">
      <c r="A978" s="59"/>
      <c r="B978" s="59"/>
      <c r="C978" s="59"/>
      <c r="D978" s="59"/>
      <c r="E978" s="59"/>
      <c r="F978" s="59"/>
      <c r="G978" s="59"/>
      <c r="H978" s="59"/>
      <c r="I978" s="59"/>
      <c r="J978" s="59"/>
      <c r="K978" s="59"/>
      <c r="L978" s="59"/>
    </row>
    <row r="979">
      <c r="A979" s="59"/>
      <c r="B979" s="59"/>
      <c r="C979" s="59"/>
      <c r="D979" s="59"/>
      <c r="E979" s="59"/>
      <c r="F979" s="59"/>
      <c r="G979" s="59"/>
      <c r="H979" s="59"/>
      <c r="I979" s="59"/>
      <c r="J979" s="59"/>
      <c r="K979" s="59"/>
      <c r="L979" s="59"/>
    </row>
    <row r="980">
      <c r="A980" s="59"/>
      <c r="B980" s="59"/>
      <c r="C980" s="59"/>
      <c r="D980" s="59"/>
      <c r="E980" s="59"/>
      <c r="F980" s="59"/>
      <c r="G980" s="59"/>
      <c r="H980" s="59"/>
      <c r="I980" s="59"/>
      <c r="J980" s="59"/>
      <c r="K980" s="59"/>
      <c r="L980" s="59"/>
    </row>
    <row r="981">
      <c r="A981" s="59"/>
      <c r="B981" s="59"/>
      <c r="C981" s="59"/>
      <c r="D981" s="59"/>
      <c r="E981" s="59"/>
      <c r="F981" s="59"/>
      <c r="G981" s="59"/>
      <c r="H981" s="59"/>
      <c r="I981" s="59"/>
      <c r="J981" s="59"/>
      <c r="K981" s="59"/>
      <c r="L981" s="59"/>
    </row>
    <row r="982">
      <c r="A982" s="59"/>
      <c r="B982" s="59"/>
      <c r="C982" s="59"/>
      <c r="D982" s="59"/>
      <c r="E982" s="59"/>
      <c r="F982" s="59"/>
      <c r="G982" s="59"/>
      <c r="H982" s="59"/>
      <c r="I982" s="59"/>
      <c r="J982" s="59"/>
      <c r="K982" s="59"/>
      <c r="L982" s="59"/>
    </row>
    <row r="983">
      <c r="A983" s="59"/>
      <c r="B983" s="59"/>
      <c r="C983" s="59"/>
      <c r="D983" s="59"/>
      <c r="E983" s="59"/>
      <c r="F983" s="59"/>
      <c r="G983" s="59"/>
      <c r="H983" s="59"/>
      <c r="I983" s="59"/>
      <c r="J983" s="59"/>
      <c r="K983" s="59"/>
      <c r="L983" s="59"/>
    </row>
    <row r="984">
      <c r="A984" s="59"/>
      <c r="B984" s="59"/>
      <c r="C984" s="59"/>
      <c r="D984" s="59"/>
      <c r="E984" s="59"/>
      <c r="F984" s="59"/>
      <c r="G984" s="59"/>
      <c r="H984" s="59"/>
      <c r="I984" s="59"/>
      <c r="J984" s="59"/>
      <c r="K984" s="59"/>
      <c r="L984" s="59"/>
    </row>
    <row r="985">
      <c r="A985" s="59"/>
      <c r="B985" s="59"/>
      <c r="C985" s="59"/>
      <c r="D985" s="59"/>
      <c r="E985" s="59"/>
      <c r="F985" s="59"/>
      <c r="G985" s="59"/>
      <c r="H985" s="59"/>
      <c r="I985" s="59"/>
      <c r="J985" s="59"/>
      <c r="K985" s="59"/>
      <c r="L985" s="59"/>
    </row>
    <row r="986">
      <c r="A986" s="59"/>
      <c r="B986" s="59"/>
      <c r="C986" s="59"/>
      <c r="D986" s="59"/>
      <c r="E986" s="59"/>
      <c r="F986" s="59"/>
      <c r="G986" s="59"/>
      <c r="H986" s="59"/>
      <c r="I986" s="59"/>
      <c r="J986" s="59"/>
      <c r="K986" s="59"/>
      <c r="L986" s="59"/>
    </row>
    <row r="987">
      <c r="A987" s="59"/>
      <c r="B987" s="59"/>
      <c r="C987" s="59"/>
      <c r="D987" s="59"/>
      <c r="E987" s="59"/>
      <c r="F987" s="59"/>
      <c r="G987" s="59"/>
      <c r="H987" s="59"/>
      <c r="I987" s="59"/>
      <c r="J987" s="59"/>
      <c r="K987" s="59"/>
      <c r="L987" s="59"/>
    </row>
    <row r="988">
      <c r="A988" s="59"/>
      <c r="B988" s="59"/>
      <c r="C988" s="59"/>
      <c r="D988" s="59"/>
      <c r="E988" s="59"/>
      <c r="F988" s="59"/>
      <c r="G988" s="59"/>
      <c r="H988" s="59"/>
      <c r="I988" s="59"/>
      <c r="J988" s="59"/>
      <c r="K988" s="59"/>
      <c r="L988" s="59"/>
    </row>
    <row r="989">
      <c r="A989" s="59"/>
      <c r="B989" s="59"/>
      <c r="C989" s="59"/>
      <c r="D989" s="59"/>
      <c r="E989" s="59"/>
      <c r="F989" s="59"/>
      <c r="G989" s="59"/>
      <c r="H989" s="59"/>
      <c r="I989" s="59"/>
      <c r="J989" s="59"/>
      <c r="K989" s="59"/>
      <c r="L989" s="59"/>
    </row>
    <row r="990">
      <c r="A990" s="59"/>
      <c r="B990" s="59"/>
      <c r="C990" s="59"/>
      <c r="D990" s="59"/>
      <c r="E990" s="59"/>
      <c r="F990" s="59"/>
      <c r="G990" s="59"/>
      <c r="H990" s="59"/>
      <c r="I990" s="59"/>
      <c r="J990" s="59"/>
      <c r="K990" s="59"/>
      <c r="L990" s="59"/>
    </row>
    <row r="991">
      <c r="A991" s="59"/>
      <c r="B991" s="59"/>
      <c r="C991" s="59"/>
      <c r="D991" s="59"/>
      <c r="E991" s="59"/>
      <c r="F991" s="59"/>
      <c r="G991" s="59"/>
      <c r="H991" s="59"/>
      <c r="I991" s="59"/>
      <c r="J991" s="59"/>
      <c r="K991" s="59"/>
      <c r="L991" s="59"/>
    </row>
    <row r="992">
      <c r="A992" s="59"/>
      <c r="B992" s="59"/>
      <c r="C992" s="59"/>
      <c r="D992" s="59"/>
      <c r="E992" s="59"/>
      <c r="F992" s="59"/>
      <c r="G992" s="59"/>
      <c r="H992" s="59"/>
      <c r="I992" s="59"/>
      <c r="J992" s="59"/>
      <c r="K992" s="59"/>
      <c r="L992" s="59"/>
    </row>
    <row r="993">
      <c r="A993" s="59"/>
      <c r="B993" s="59"/>
      <c r="C993" s="59"/>
      <c r="D993" s="59"/>
      <c r="E993" s="59"/>
      <c r="F993" s="59"/>
      <c r="G993" s="59"/>
      <c r="H993" s="59"/>
      <c r="I993" s="59"/>
      <c r="J993" s="59"/>
      <c r="K993" s="59"/>
      <c r="L993" s="59"/>
    </row>
  </sheetData>
  <mergeCells count="43">
    <mergeCell ref="A1:I1"/>
    <mergeCell ref="A2:I2"/>
    <mergeCell ref="A3:I3"/>
    <mergeCell ref="A4:I4"/>
    <mergeCell ref="A5:I5"/>
    <mergeCell ref="A6:I6"/>
    <mergeCell ref="A7:I7"/>
    <mergeCell ref="A8:I8"/>
    <mergeCell ref="A9:C9"/>
    <mergeCell ref="D9:F9"/>
    <mergeCell ref="G9:I9"/>
    <mergeCell ref="D10:F10"/>
    <mergeCell ref="G10:I10"/>
    <mergeCell ref="A11:I11"/>
    <mergeCell ref="F13:G13"/>
    <mergeCell ref="H13:I13"/>
    <mergeCell ref="A10:C10"/>
    <mergeCell ref="B12:C12"/>
    <mergeCell ref="D12:E12"/>
    <mergeCell ref="F12:G12"/>
    <mergeCell ref="H12:I12"/>
    <mergeCell ref="B13:C13"/>
    <mergeCell ref="D13:E13"/>
    <mergeCell ref="B14:C14"/>
    <mergeCell ref="D14:E14"/>
    <mergeCell ref="F14:G14"/>
    <mergeCell ref="H14:I14"/>
    <mergeCell ref="B15:C15"/>
    <mergeCell ref="D15:E15"/>
    <mergeCell ref="F15:G15"/>
    <mergeCell ref="A23:I23"/>
    <mergeCell ref="B25:I25"/>
    <mergeCell ref="B26:I26"/>
    <mergeCell ref="B27:I27"/>
    <mergeCell ref="A28:I28"/>
    <mergeCell ref="A29:I29"/>
    <mergeCell ref="H15:I15"/>
    <mergeCell ref="A16:I16"/>
    <mergeCell ref="B18:I18"/>
    <mergeCell ref="B19:I19"/>
    <mergeCell ref="B20:I20"/>
    <mergeCell ref="B21:I21"/>
    <mergeCell ref="B22:I22"/>
  </mergeCells>
  <hyperlinks>
    <hyperlink r:id="rId1" ref="A12"/>
    <hyperlink r:id="rId2" ref="B12"/>
    <hyperlink r:id="rId3" ref="F12"/>
    <hyperlink r:id="rId4" ref="H12"/>
    <hyperlink r:id="rId5" ref="A14"/>
    <hyperlink r:id="rId6" ref="B14"/>
    <hyperlink r:id="rId7" ref="D14"/>
    <hyperlink r:id="rId8" ref="H14"/>
  </hyperlinks>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s>
  <sheetData>
    <row r="2">
      <c r="B2" s="3" t="s">
        <v>1394</v>
      </c>
    </row>
    <row r="4">
      <c r="B4" s="3" t="s">
        <v>1395</v>
      </c>
    </row>
    <row r="5">
      <c r="B5" s="3" t="s">
        <v>1396</v>
      </c>
    </row>
    <row r="6">
      <c r="B6" s="3" t="s">
        <v>1397</v>
      </c>
    </row>
    <row r="7">
      <c r="B7" s="3" t="s">
        <v>1398</v>
      </c>
    </row>
    <row r="8">
      <c r="B8" s="3" t="s">
        <v>1399</v>
      </c>
    </row>
    <row r="9">
      <c r="B9" s="3" t="s">
        <v>1400</v>
      </c>
    </row>
    <row r="10">
      <c r="B10" s="3" t="s">
        <v>1401</v>
      </c>
    </row>
    <row r="11">
      <c r="B11" s="3" t="s">
        <v>1399</v>
      </c>
    </row>
    <row r="12">
      <c r="B12" s="3" t="s">
        <v>1402</v>
      </c>
    </row>
    <row r="13">
      <c r="B13" s="3" t="s">
        <v>1403</v>
      </c>
    </row>
    <row r="14">
      <c r="B14" s="3" t="s">
        <v>1404</v>
      </c>
    </row>
    <row r="15">
      <c r="B15" s="3" t="s">
        <v>1399</v>
      </c>
    </row>
    <row r="16">
      <c r="B16" s="3" t="s">
        <v>1405</v>
      </c>
    </row>
    <row r="17">
      <c r="B17" s="3" t="s">
        <v>1406</v>
      </c>
    </row>
    <row r="18">
      <c r="B18" s="3" t="s">
        <v>1399</v>
      </c>
    </row>
    <row r="19">
      <c r="B19" s="3" t="s">
        <v>1407</v>
      </c>
    </row>
    <row r="20">
      <c r="B20" s="3" t="s">
        <v>1408</v>
      </c>
    </row>
    <row r="21">
      <c r="B21" s="3" t="s">
        <v>1409</v>
      </c>
    </row>
    <row r="22">
      <c r="B22" s="3" t="s">
        <v>1410</v>
      </c>
    </row>
    <row r="23">
      <c r="B23" s="3" t="s">
        <v>1411</v>
      </c>
    </row>
    <row r="24">
      <c r="B24" s="3" t="s">
        <v>1399</v>
      </c>
    </row>
    <row r="25">
      <c r="B25" s="3" t="s">
        <v>1412</v>
      </c>
    </row>
    <row r="26">
      <c r="B26" s="3" t="s">
        <v>1413</v>
      </c>
    </row>
    <row r="27">
      <c r="B27" s="3" t="s">
        <v>1414</v>
      </c>
    </row>
    <row r="28">
      <c r="B28" s="3" t="s">
        <v>1399</v>
      </c>
    </row>
    <row r="29">
      <c r="B29" s="3" t="s">
        <v>1415</v>
      </c>
    </row>
    <row r="30">
      <c r="B30" s="3" t="s">
        <v>1416</v>
      </c>
    </row>
    <row r="31">
      <c r="B31" s="3" t="s">
        <v>1417</v>
      </c>
    </row>
    <row r="32">
      <c r="B32" s="3" t="s">
        <v>1399</v>
      </c>
    </row>
    <row r="33">
      <c r="B33" s="3" t="s">
        <v>1418</v>
      </c>
    </row>
    <row r="36">
      <c r="B36" s="3" t="s">
        <v>1419</v>
      </c>
    </row>
    <row r="38">
      <c r="B38" s="3" t="s">
        <v>1420</v>
      </c>
    </row>
    <row r="39">
      <c r="B39" s="3" t="s">
        <v>1421</v>
      </c>
    </row>
    <row r="40">
      <c r="B40" s="3" t="s">
        <v>1399</v>
      </c>
    </row>
    <row r="41">
      <c r="B41" s="3" t="s">
        <v>1422</v>
      </c>
    </row>
    <row r="42">
      <c r="B42" s="3" t="s">
        <v>1423</v>
      </c>
    </row>
    <row r="43">
      <c r="B43" s="3" t="s">
        <v>1424</v>
      </c>
    </row>
    <row r="44">
      <c r="B44" s="3" t="s">
        <v>1425</v>
      </c>
    </row>
    <row r="45">
      <c r="B45" s="3" t="s">
        <v>1399</v>
      </c>
    </row>
    <row r="46">
      <c r="B46" s="3" t="s">
        <v>1426</v>
      </c>
    </row>
    <row r="47">
      <c r="B47" s="3" t="s">
        <v>1427</v>
      </c>
    </row>
    <row r="48">
      <c r="B48" s="3" t="s">
        <v>1399</v>
      </c>
    </row>
    <row r="49">
      <c r="B49" s="3" t="s">
        <v>1428</v>
      </c>
    </row>
    <row r="50">
      <c r="B50" s="3" t="s">
        <v>1429</v>
      </c>
    </row>
    <row r="51">
      <c r="B51" s="3" t="s">
        <v>1430</v>
      </c>
    </row>
    <row r="52">
      <c r="B52" s="3" t="s">
        <v>1399</v>
      </c>
    </row>
    <row r="53">
      <c r="B53" s="3" t="s">
        <v>1431</v>
      </c>
    </row>
    <row r="54">
      <c r="B54" s="3" t="s">
        <v>1432</v>
      </c>
    </row>
    <row r="55">
      <c r="B55" s="3" t="s">
        <v>1399</v>
      </c>
    </row>
    <row r="56">
      <c r="B56" s="3" t="s">
        <v>1433</v>
      </c>
    </row>
    <row r="59">
      <c r="B59" s="3" t="s">
        <v>1434</v>
      </c>
    </row>
    <row r="61">
      <c r="B61" s="3" t="s">
        <v>1420</v>
      </c>
    </row>
    <row r="62">
      <c r="B62" s="3" t="s">
        <v>1435</v>
      </c>
    </row>
    <row r="63">
      <c r="B63" s="3" t="s">
        <v>1399</v>
      </c>
    </row>
    <row r="64">
      <c r="B64" s="3" t="s">
        <v>1436</v>
      </c>
    </row>
    <row r="65">
      <c r="B65" s="3" t="s">
        <v>1437</v>
      </c>
    </row>
    <row r="66">
      <c r="B66" s="3" t="s">
        <v>1399</v>
      </c>
    </row>
    <row r="67">
      <c r="B67" s="3" t="s">
        <v>1438</v>
      </c>
    </row>
    <row r="68">
      <c r="B68" s="3" t="s">
        <v>1439</v>
      </c>
    </row>
    <row r="69">
      <c r="B69" s="3" t="s">
        <v>1440</v>
      </c>
    </row>
    <row r="70">
      <c r="B70" s="3" t="s">
        <v>1399</v>
      </c>
    </row>
    <row r="71">
      <c r="B71" s="3" t="s">
        <v>1441</v>
      </c>
    </row>
    <row r="72">
      <c r="B72" s="3" t="s">
        <v>1442</v>
      </c>
    </row>
    <row r="73">
      <c r="B73" s="3" t="s">
        <v>1443</v>
      </c>
    </row>
    <row r="74">
      <c r="B74" s="3" t="s">
        <v>1399</v>
      </c>
    </row>
    <row r="75">
      <c r="B75" s="3" t="s">
        <v>1444</v>
      </c>
    </row>
    <row r="78">
      <c r="B78" s="3" t="s">
        <v>1445</v>
      </c>
    </row>
    <row r="80">
      <c r="B80" s="3" t="s">
        <v>1420</v>
      </c>
    </row>
    <row r="81">
      <c r="B81" s="3" t="s">
        <v>1446</v>
      </c>
    </row>
    <row r="82">
      <c r="B82" s="3" t="s">
        <v>1447</v>
      </c>
    </row>
    <row r="83">
      <c r="B83" s="3" t="s">
        <v>1399</v>
      </c>
    </row>
    <row r="84">
      <c r="B84" s="3" t="s">
        <v>1448</v>
      </c>
    </row>
    <row r="85">
      <c r="B85" s="3" t="s">
        <v>1449</v>
      </c>
    </row>
    <row r="86">
      <c r="B86" s="3" t="s">
        <v>1399</v>
      </c>
    </row>
    <row r="87">
      <c r="B87" s="3" t="s">
        <v>1450</v>
      </c>
    </row>
    <row r="88">
      <c r="B88" s="3" t="s">
        <v>1451</v>
      </c>
    </row>
    <row r="89">
      <c r="B89" s="3" t="s">
        <v>1399</v>
      </c>
    </row>
    <row r="90">
      <c r="B90" s="3" t="s">
        <v>1452</v>
      </c>
    </row>
    <row r="91">
      <c r="B91" s="3" t="s">
        <v>1453</v>
      </c>
    </row>
    <row r="92">
      <c r="B92" s="3" t="s">
        <v>1454</v>
      </c>
    </row>
    <row r="93">
      <c r="B93" s="3" t="s">
        <v>1399</v>
      </c>
    </row>
    <row r="94">
      <c r="B94" s="3" t="s">
        <v>1455</v>
      </c>
    </row>
    <row r="97">
      <c r="B97" s="3" t="s">
        <v>1456</v>
      </c>
    </row>
    <row r="99">
      <c r="B99" s="3" t="s">
        <v>1420</v>
      </c>
    </row>
    <row r="100">
      <c r="B100" s="3" t="s">
        <v>1421</v>
      </c>
    </row>
    <row r="101">
      <c r="B101" s="3" t="s">
        <v>1399</v>
      </c>
    </row>
    <row r="102">
      <c r="B102" s="3" t="s">
        <v>1457</v>
      </c>
    </row>
    <row r="103">
      <c r="B103" s="3" t="s">
        <v>1458</v>
      </c>
    </row>
    <row r="104">
      <c r="B104" s="3" t="s">
        <v>1399</v>
      </c>
    </row>
    <row r="105">
      <c r="B105" s="3" t="s">
        <v>1459</v>
      </c>
    </row>
    <row r="106">
      <c r="B106" s="3" t="s">
        <v>1460</v>
      </c>
    </row>
    <row r="107">
      <c r="B107" s="3" t="s">
        <v>1399</v>
      </c>
    </row>
    <row r="108">
      <c r="B108" s="3" t="s">
        <v>1461</v>
      </c>
    </row>
    <row r="109">
      <c r="B109" s="3" t="s">
        <v>1462</v>
      </c>
    </row>
    <row r="110">
      <c r="B110" s="3" t="s">
        <v>1399</v>
      </c>
    </row>
    <row r="111">
      <c r="B111" s="3" t="s">
        <v>1463</v>
      </c>
    </row>
    <row r="114">
      <c r="B114" s="3" t="s">
        <v>1464</v>
      </c>
    </row>
    <row r="116">
      <c r="B116" s="3" t="s">
        <v>1420</v>
      </c>
    </row>
    <row r="117">
      <c r="B117" s="3" t="s">
        <v>1465</v>
      </c>
    </row>
    <row r="118">
      <c r="B118" s="3" t="s">
        <v>1399</v>
      </c>
    </row>
    <row r="119">
      <c r="B119" s="3" t="s">
        <v>1466</v>
      </c>
    </row>
    <row r="120">
      <c r="B120" s="3" t="s">
        <v>1467</v>
      </c>
    </row>
    <row r="121">
      <c r="B121" s="3" t="s">
        <v>1399</v>
      </c>
    </row>
    <row r="122">
      <c r="B122" s="3" t="s">
        <v>1468</v>
      </c>
    </row>
    <row r="125">
      <c r="B125" s="3" t="s">
        <v>1469</v>
      </c>
    </row>
    <row r="127">
      <c r="B127" s="3" t="s">
        <v>1420</v>
      </c>
    </row>
    <row r="128">
      <c r="B128" s="3" t="s">
        <v>1470</v>
      </c>
    </row>
    <row r="129">
      <c r="B129" s="3" t="s">
        <v>1471</v>
      </c>
    </row>
    <row r="130">
      <c r="B130" s="3" t="s">
        <v>1399</v>
      </c>
    </row>
    <row r="131">
      <c r="B131" s="3" t="s">
        <v>1472</v>
      </c>
    </row>
    <row r="134">
      <c r="B134" s="3" t="s">
        <v>1473</v>
      </c>
    </row>
    <row r="136">
      <c r="B136" s="3" t="s">
        <v>1420</v>
      </c>
    </row>
    <row r="137">
      <c r="B137" s="3" t="s">
        <v>1474</v>
      </c>
    </row>
    <row r="138">
      <c r="B138" s="3" t="s">
        <v>1399</v>
      </c>
    </row>
    <row r="139">
      <c r="B139" s="3" t="s">
        <v>1472</v>
      </c>
    </row>
    <row r="140">
      <c r="B140" s="3" t="s">
        <v>1475</v>
      </c>
    </row>
    <row r="141">
      <c r="B141" s="3" t="s">
        <v>1476</v>
      </c>
    </row>
    <row r="142">
      <c r="B142" s="3" t="s">
        <v>1399</v>
      </c>
    </row>
    <row r="143">
      <c r="B143" s="3" t="s">
        <v>1477</v>
      </c>
    </row>
    <row r="146">
      <c r="B146" s="3" t="s">
        <v>1478</v>
      </c>
    </row>
    <row r="148">
      <c r="B148" s="3" t="s">
        <v>1420</v>
      </c>
    </row>
    <row r="149">
      <c r="B149" s="3" t="s">
        <v>1479</v>
      </c>
    </row>
    <row r="150">
      <c r="B150" s="3" t="s">
        <v>1480</v>
      </c>
    </row>
    <row r="151">
      <c r="B151" s="3" t="s">
        <v>1481</v>
      </c>
    </row>
    <row r="152">
      <c r="B152" s="3" t="s">
        <v>1482</v>
      </c>
    </row>
    <row r="153">
      <c r="B153" s="3" t="s">
        <v>1483</v>
      </c>
    </row>
    <row r="154">
      <c r="B154" s="3" t="s">
        <v>1484</v>
      </c>
    </row>
    <row r="155">
      <c r="B155" s="3" t="s">
        <v>1399</v>
      </c>
    </row>
    <row r="156">
      <c r="B156" s="3" t="s">
        <v>1485</v>
      </c>
    </row>
    <row r="157">
      <c r="B157" s="3" t="s">
        <v>1486</v>
      </c>
    </row>
    <row r="158">
      <c r="B158" s="3" t="s">
        <v>1487</v>
      </c>
    </row>
    <row r="159">
      <c r="B159" s="3" t="s">
        <v>1399</v>
      </c>
    </row>
    <row r="160">
      <c r="B160" s="3" t="s">
        <v>1488</v>
      </c>
    </row>
    <row r="161">
      <c r="B161" s="3" t="s">
        <v>1489</v>
      </c>
    </row>
    <row r="162">
      <c r="B162" s="3" t="s">
        <v>1399</v>
      </c>
    </row>
    <row r="163">
      <c r="B163" s="3" t="s">
        <v>1490</v>
      </c>
    </row>
    <row r="164">
      <c r="B164" s="3" t="s">
        <v>1491</v>
      </c>
    </row>
    <row r="165">
      <c r="B165" s="3" t="s">
        <v>1492</v>
      </c>
    </row>
    <row r="166">
      <c r="B166" s="3" t="s">
        <v>1399</v>
      </c>
    </row>
    <row r="167">
      <c r="B167" s="3" t="s">
        <v>1493</v>
      </c>
    </row>
    <row r="168">
      <c r="B168" s="3" t="s">
        <v>1494</v>
      </c>
    </row>
    <row r="169">
      <c r="B169" s="3" t="s">
        <v>1495</v>
      </c>
    </row>
    <row r="170">
      <c r="B170" s="3" t="s">
        <v>1399</v>
      </c>
    </row>
    <row r="171">
      <c r="B171" s="3" t="s">
        <v>1496</v>
      </c>
    </row>
    <row r="172">
      <c r="B172" s="3" t="s">
        <v>1497</v>
      </c>
    </row>
    <row r="173">
      <c r="B173" s="3" t="s">
        <v>1399</v>
      </c>
    </row>
    <row r="174">
      <c r="B174" s="3" t="s">
        <v>1498</v>
      </c>
    </row>
    <row r="175">
      <c r="B175" s="3" t="s">
        <v>1499</v>
      </c>
    </row>
    <row r="176">
      <c r="B176" s="3" t="s">
        <v>1399</v>
      </c>
    </row>
    <row r="177">
      <c r="B177" s="3" t="s">
        <v>1500</v>
      </c>
    </row>
    <row r="180">
      <c r="B180" s="3" t="s">
        <v>1501</v>
      </c>
    </row>
    <row r="182">
      <c r="B182" s="3" t="s">
        <v>1420</v>
      </c>
    </row>
    <row r="183">
      <c r="B183" s="3" t="s">
        <v>1479</v>
      </c>
    </row>
    <row r="184">
      <c r="B184" s="3" t="s">
        <v>1502</v>
      </c>
    </row>
    <row r="185">
      <c r="B185" s="3" t="s">
        <v>1503</v>
      </c>
    </row>
    <row r="186">
      <c r="B186" s="3" t="s">
        <v>1504</v>
      </c>
    </row>
    <row r="187">
      <c r="B187" s="3" t="s">
        <v>1399</v>
      </c>
    </row>
    <row r="188">
      <c r="B188" s="3" t="s">
        <v>1505</v>
      </c>
    </row>
    <row r="189">
      <c r="B189" s="3" t="s">
        <v>1506</v>
      </c>
    </row>
    <row r="190">
      <c r="B190" s="3" t="s">
        <v>1507</v>
      </c>
    </row>
    <row r="191">
      <c r="B191" s="3" t="s">
        <v>1482</v>
      </c>
    </row>
    <row r="192">
      <c r="B192" s="3" t="s">
        <v>1508</v>
      </c>
    </row>
    <row r="193">
      <c r="B193" s="3" t="s">
        <v>1399</v>
      </c>
    </row>
    <row r="194">
      <c r="B194" s="3" t="s">
        <v>1509</v>
      </c>
    </row>
    <row r="195">
      <c r="B195" s="3" t="s">
        <v>1510</v>
      </c>
    </row>
    <row r="196">
      <c r="B196" s="3" t="s">
        <v>1399</v>
      </c>
    </row>
    <row r="197">
      <c r="B197" s="3" t="s">
        <v>1511</v>
      </c>
    </row>
    <row r="200">
      <c r="B200" s="3" t="s">
        <v>1512</v>
      </c>
    </row>
    <row r="202">
      <c r="B202" s="3" t="s">
        <v>1420</v>
      </c>
    </row>
    <row r="203">
      <c r="B203" s="3" t="s">
        <v>1513</v>
      </c>
    </row>
    <row r="204">
      <c r="B204" s="3" t="s">
        <v>1399</v>
      </c>
    </row>
    <row r="205">
      <c r="B205" s="3" t="s">
        <v>1514</v>
      </c>
    </row>
    <row r="206">
      <c r="B206" s="3" t="s">
        <v>1515</v>
      </c>
    </row>
    <row r="207">
      <c r="B207" s="3" t="s">
        <v>1399</v>
      </c>
    </row>
    <row r="208">
      <c r="B208" s="3" t="s">
        <v>1516</v>
      </c>
    </row>
    <row r="211">
      <c r="B211" s="3" t="s">
        <v>1517</v>
      </c>
    </row>
    <row r="213">
      <c r="B213" s="3" t="s">
        <v>1420</v>
      </c>
    </row>
    <row r="214">
      <c r="B214" s="3" t="s">
        <v>1479</v>
      </c>
    </row>
    <row r="215">
      <c r="B215" s="3" t="s">
        <v>1518</v>
      </c>
    </row>
    <row r="216">
      <c r="B216" s="3" t="s">
        <v>1399</v>
      </c>
    </row>
    <row r="217">
      <c r="B217" s="3" t="s">
        <v>1519</v>
      </c>
    </row>
    <row r="218">
      <c r="B218" s="3" t="s">
        <v>1520</v>
      </c>
    </row>
    <row r="219">
      <c r="B219" s="3" t="s">
        <v>1521</v>
      </c>
    </row>
    <row r="220">
      <c r="B220" s="3" t="s">
        <v>1522</v>
      </c>
    </row>
    <row r="221">
      <c r="B221" s="3" t="s">
        <v>1399</v>
      </c>
    </row>
    <row r="222">
      <c r="B222" s="3" t="s">
        <v>1523</v>
      </c>
    </row>
    <row r="223">
      <c r="B223" s="3" t="s">
        <v>1524</v>
      </c>
    </row>
    <row r="224">
      <c r="B224" s="3" t="s">
        <v>1525</v>
      </c>
    </row>
    <row r="225">
      <c r="B225" s="3" t="s">
        <v>1526</v>
      </c>
    </row>
    <row r="226">
      <c r="B226" s="3" t="s">
        <v>1503</v>
      </c>
    </row>
    <row r="227">
      <c r="B227" s="3" t="s">
        <v>1527</v>
      </c>
    </row>
    <row r="228">
      <c r="B228" s="3" t="s">
        <v>1399</v>
      </c>
    </row>
    <row r="229">
      <c r="B229" s="3" t="s">
        <v>1528</v>
      </c>
    </row>
    <row r="230">
      <c r="B230" s="3" t="s">
        <v>1529</v>
      </c>
    </row>
    <row r="231">
      <c r="B231" s="3" t="s">
        <v>1530</v>
      </c>
    </row>
    <row r="232">
      <c r="B232" s="3" t="s">
        <v>1399</v>
      </c>
    </row>
    <row r="233">
      <c r="B233" s="3" t="s">
        <v>1531</v>
      </c>
    </row>
    <row r="234">
      <c r="B234" s="3" t="s">
        <v>1532</v>
      </c>
    </row>
    <row r="235">
      <c r="B235" s="3" t="s">
        <v>1399</v>
      </c>
    </row>
    <row r="236">
      <c r="B236" s="3" t="s">
        <v>1533</v>
      </c>
    </row>
    <row r="237">
      <c r="B237" s="3" t="s">
        <v>1534</v>
      </c>
    </row>
    <row r="238">
      <c r="B238" s="3" t="s">
        <v>1399</v>
      </c>
    </row>
    <row r="239">
      <c r="B239" s="3" t="s">
        <v>1535</v>
      </c>
    </row>
    <row r="240">
      <c r="B240" s="3" t="s">
        <v>1506</v>
      </c>
    </row>
    <row r="241">
      <c r="B241" s="3" t="s">
        <v>1536</v>
      </c>
    </row>
    <row r="242">
      <c r="B242" s="3" t="s">
        <v>1482</v>
      </c>
    </row>
    <row r="243">
      <c r="B243" s="3" t="s">
        <v>1537</v>
      </c>
    </row>
    <row r="244">
      <c r="B244" s="3" t="s">
        <v>1538</v>
      </c>
    </row>
    <row r="245">
      <c r="B245" s="3" t="s">
        <v>1399</v>
      </c>
    </row>
    <row r="246">
      <c r="B246" s="3" t="s">
        <v>1539</v>
      </c>
    </row>
    <row r="247">
      <c r="B247" s="3" t="s">
        <v>1540</v>
      </c>
    </row>
    <row r="250">
      <c r="B250" s="3" t="s">
        <v>1541</v>
      </c>
    </row>
    <row r="252">
      <c r="B252" s="3" t="s">
        <v>1420</v>
      </c>
    </row>
    <row r="253">
      <c r="B253" s="3" t="s">
        <v>1479</v>
      </c>
    </row>
    <row r="254">
      <c r="B254" s="3" t="s">
        <v>1542</v>
      </c>
    </row>
    <row r="255">
      <c r="B255" s="3" t="s">
        <v>1399</v>
      </c>
    </row>
    <row r="256">
      <c r="B256" s="3" t="s">
        <v>1543</v>
      </c>
    </row>
    <row r="257">
      <c r="B257" s="3" t="s">
        <v>1544</v>
      </c>
    </row>
    <row r="258">
      <c r="B258" s="3" t="s">
        <v>1545</v>
      </c>
    </row>
    <row r="259">
      <c r="B259" s="3" t="s">
        <v>1399</v>
      </c>
    </row>
    <row r="260">
      <c r="B260" s="3" t="s">
        <v>1546</v>
      </c>
    </row>
    <row r="261">
      <c r="B261" s="3" t="s">
        <v>1547</v>
      </c>
    </row>
    <row r="262">
      <c r="B262" s="3" t="s">
        <v>1399</v>
      </c>
    </row>
    <row r="263">
      <c r="B263" s="3" t="s">
        <v>1548</v>
      </c>
    </row>
    <row r="264">
      <c r="B264" s="3" t="s">
        <v>1549</v>
      </c>
    </row>
    <row r="265">
      <c r="B265" s="3" t="s">
        <v>1550</v>
      </c>
    </row>
    <row r="266">
      <c r="B266" s="3" t="s">
        <v>1399</v>
      </c>
    </row>
    <row r="267">
      <c r="B267" s="3" t="s">
        <v>1551</v>
      </c>
    </row>
    <row r="268">
      <c r="B268" s="3" t="s">
        <v>1482</v>
      </c>
    </row>
    <row r="269">
      <c r="B269" s="3" t="s">
        <v>1552</v>
      </c>
    </row>
    <row r="270">
      <c r="B270" s="3" t="s">
        <v>1399</v>
      </c>
    </row>
    <row r="271">
      <c r="B271" s="3" t="s">
        <v>1553</v>
      </c>
    </row>
    <row r="272">
      <c r="B272" s="3" t="s">
        <v>1554</v>
      </c>
    </row>
    <row r="273">
      <c r="B273" s="3" t="s">
        <v>1555</v>
      </c>
    </row>
    <row r="274">
      <c r="B274" s="3" t="s">
        <v>1399</v>
      </c>
    </row>
    <row r="275">
      <c r="B275" s="3" t="s">
        <v>1556</v>
      </c>
    </row>
    <row r="276">
      <c r="B276" s="3" t="s">
        <v>1557</v>
      </c>
    </row>
    <row r="277">
      <c r="B277" s="3" t="s">
        <v>1558</v>
      </c>
    </row>
    <row r="278">
      <c r="B278" s="3" t="s">
        <v>1399</v>
      </c>
    </row>
    <row r="279">
      <c r="B279" s="3" t="s">
        <v>1559</v>
      </c>
    </row>
    <row r="280">
      <c r="B280" s="3" t="s">
        <v>1560</v>
      </c>
    </row>
    <row r="281">
      <c r="B281" s="3" t="s">
        <v>1561</v>
      </c>
    </row>
    <row r="282">
      <c r="B282" s="3" t="s">
        <v>1399</v>
      </c>
    </row>
    <row r="283">
      <c r="B283" s="3" t="s">
        <v>1562</v>
      </c>
    </row>
    <row r="286">
      <c r="B286" s="3" t="s">
        <v>1563</v>
      </c>
    </row>
    <row r="288">
      <c r="B288" s="3" t="s">
        <v>1420</v>
      </c>
    </row>
    <row r="289">
      <c r="B289" s="3" t="s">
        <v>1564</v>
      </c>
    </row>
    <row r="290">
      <c r="B290" s="3" t="s">
        <v>1565</v>
      </c>
    </row>
    <row r="291">
      <c r="B291" s="3" t="s">
        <v>1399</v>
      </c>
    </row>
    <row r="292">
      <c r="B292" s="3" t="s">
        <v>1566</v>
      </c>
    </row>
    <row r="293">
      <c r="B293" s="3" t="s">
        <v>1567</v>
      </c>
    </row>
    <row r="294">
      <c r="B294" s="3" t="s">
        <v>1399</v>
      </c>
    </row>
    <row r="295">
      <c r="B295" s="3" t="s">
        <v>1568</v>
      </c>
    </row>
    <row r="296">
      <c r="B296" s="3" t="s">
        <v>1569</v>
      </c>
    </row>
    <row r="297">
      <c r="B297" s="3" t="s">
        <v>1570</v>
      </c>
    </row>
    <row r="298">
      <c r="B298" s="3" t="s">
        <v>1571</v>
      </c>
    </row>
    <row r="299">
      <c r="B299" s="3" t="s">
        <v>1399</v>
      </c>
    </row>
    <row r="300">
      <c r="B300" s="3" t="s">
        <v>1572</v>
      </c>
    </row>
    <row r="301">
      <c r="B301" s="3" t="s">
        <v>1573</v>
      </c>
    </row>
    <row r="302">
      <c r="B302" s="3" t="s">
        <v>1574</v>
      </c>
    </row>
    <row r="303">
      <c r="B303" s="3" t="s">
        <v>1399</v>
      </c>
    </row>
    <row r="304">
      <c r="B304" s="3" t="s">
        <v>1575</v>
      </c>
    </row>
    <row r="305">
      <c r="B305" s="3" t="s">
        <v>1576</v>
      </c>
    </row>
    <row r="306">
      <c r="B306" s="3" t="s">
        <v>1399</v>
      </c>
    </row>
    <row r="307">
      <c r="B307" s="3" t="s">
        <v>1577</v>
      </c>
    </row>
    <row r="308">
      <c r="B308" s="3" t="s">
        <v>1578</v>
      </c>
    </row>
    <row r="309">
      <c r="B309" s="3" t="s">
        <v>1399</v>
      </c>
    </row>
    <row r="310">
      <c r="B310" s="3" t="s">
        <v>1579</v>
      </c>
    </row>
    <row r="313">
      <c r="B313" s="3" t="s">
        <v>1580</v>
      </c>
    </row>
    <row r="315">
      <c r="B315" s="3" t="s">
        <v>1420</v>
      </c>
    </row>
    <row r="316">
      <c r="B316" s="3" t="s">
        <v>1581</v>
      </c>
    </row>
    <row r="317">
      <c r="B317" s="3" t="s">
        <v>1582</v>
      </c>
    </row>
    <row r="318">
      <c r="B318" s="3" t="s">
        <v>1399</v>
      </c>
    </row>
    <row r="319">
      <c r="B319" s="3" t="s">
        <v>1583</v>
      </c>
    </row>
    <row r="320">
      <c r="B320" s="3" t="s">
        <v>1584</v>
      </c>
    </row>
    <row r="323">
      <c r="B323" s="3" t="s">
        <v>1585</v>
      </c>
    </row>
    <row r="325">
      <c r="B325" s="3" t="s">
        <v>1420</v>
      </c>
    </row>
    <row r="326">
      <c r="B326" s="3" t="s">
        <v>1586</v>
      </c>
    </row>
    <row r="327">
      <c r="B327" s="3" t="s">
        <v>1479</v>
      </c>
    </row>
    <row r="328">
      <c r="B328" s="3" t="s">
        <v>1587</v>
      </c>
    </row>
    <row r="329">
      <c r="B329" s="3" t="s">
        <v>1399</v>
      </c>
    </row>
    <row r="330">
      <c r="B330" s="3" t="s">
        <v>1588</v>
      </c>
    </row>
    <row r="331">
      <c r="B331" s="3" t="s">
        <v>1589</v>
      </c>
    </row>
    <row r="332">
      <c r="B332" s="3" t="s">
        <v>1399</v>
      </c>
    </row>
    <row r="333">
      <c r="B333" s="3" t="s">
        <v>1590</v>
      </c>
    </row>
    <row r="334">
      <c r="B334" s="3" t="s">
        <v>1591</v>
      </c>
    </row>
    <row r="335">
      <c r="B335" s="3" t="s">
        <v>1592</v>
      </c>
    </row>
    <row r="336">
      <c r="B336" s="3" t="s">
        <v>1593</v>
      </c>
    </row>
    <row r="337">
      <c r="B337" s="3" t="s">
        <v>1594</v>
      </c>
    </row>
    <row r="338">
      <c r="B338" s="3" t="s">
        <v>1595</v>
      </c>
    </row>
    <row r="339">
      <c r="B339" s="3" t="s">
        <v>1399</v>
      </c>
    </row>
    <row r="340">
      <c r="B340" s="3" t="s">
        <v>1596</v>
      </c>
    </row>
    <row r="341">
      <c r="B341" s="3" t="s">
        <v>1506</v>
      </c>
    </row>
    <row r="342">
      <c r="B342" s="3" t="s">
        <v>1597</v>
      </c>
    </row>
    <row r="343">
      <c r="B343" s="3" t="s">
        <v>1598</v>
      </c>
    </row>
    <row r="344">
      <c r="B344" s="3" t="s">
        <v>1599</v>
      </c>
    </row>
    <row r="345">
      <c r="B345" s="3" t="s">
        <v>1399</v>
      </c>
    </row>
    <row r="346">
      <c r="B346" s="3" t="s">
        <v>1600</v>
      </c>
    </row>
    <row r="347">
      <c r="B347" s="3" t="s">
        <v>1601</v>
      </c>
    </row>
    <row r="348">
      <c r="B348" s="3" t="s">
        <v>1602</v>
      </c>
    </row>
    <row r="349">
      <c r="B349" s="3" t="s">
        <v>1603</v>
      </c>
    </row>
    <row r="350">
      <c r="B350" s="3" t="s">
        <v>1399</v>
      </c>
    </row>
    <row r="351">
      <c r="B351" s="3" t="s">
        <v>1604</v>
      </c>
    </row>
    <row r="352">
      <c r="B352" s="3" t="s">
        <v>1605</v>
      </c>
    </row>
    <row r="353">
      <c r="B353" s="3" t="s">
        <v>1606</v>
      </c>
    </row>
    <row r="354">
      <c r="B354" s="3" t="s">
        <v>1399</v>
      </c>
    </row>
    <row r="355">
      <c r="B355" s="3" t="s">
        <v>1607</v>
      </c>
    </row>
    <row r="356">
      <c r="B356" s="3" t="s">
        <v>1503</v>
      </c>
    </row>
    <row r="357">
      <c r="B357" s="3" t="s">
        <v>1608</v>
      </c>
    </row>
    <row r="358">
      <c r="B358" s="3" t="s">
        <v>1399</v>
      </c>
    </row>
    <row r="359">
      <c r="B359" s="3" t="s">
        <v>1609</v>
      </c>
    </row>
    <row r="360">
      <c r="B360" s="3" t="s">
        <v>1610</v>
      </c>
    </row>
    <row r="361">
      <c r="B361" s="3" t="s">
        <v>1611</v>
      </c>
    </row>
    <row r="362">
      <c r="B362" s="3" t="s">
        <v>1612</v>
      </c>
    </row>
    <row r="363">
      <c r="B363" s="3" t="s">
        <v>1613</v>
      </c>
    </row>
    <row r="364">
      <c r="B364" s="3" t="s">
        <v>1614</v>
      </c>
    </row>
    <row r="365">
      <c r="B365" s="3" t="s">
        <v>1615</v>
      </c>
    </row>
    <row r="366">
      <c r="B366" s="3" t="s">
        <v>1598</v>
      </c>
    </row>
    <row r="367">
      <c r="B367" s="3" t="s">
        <v>1616</v>
      </c>
    </row>
    <row r="368">
      <c r="B368" s="3" t="s">
        <v>1399</v>
      </c>
    </row>
    <row r="369">
      <c r="B369" s="3" t="s">
        <v>1617</v>
      </c>
    </row>
    <row r="370">
      <c r="B370" s="3" t="s">
        <v>1618</v>
      </c>
    </row>
    <row r="371">
      <c r="B371" s="3" t="s">
        <v>1619</v>
      </c>
    </row>
    <row r="372">
      <c r="B372" s="3" t="s">
        <v>1399</v>
      </c>
    </row>
    <row r="373">
      <c r="B373" s="3" t="s">
        <v>1620</v>
      </c>
    </row>
    <row r="374">
      <c r="B374" s="3" t="s">
        <v>1621</v>
      </c>
    </row>
    <row r="375">
      <c r="B375" s="3" t="s">
        <v>1622</v>
      </c>
    </row>
    <row r="376">
      <c r="B376" s="3" t="s">
        <v>1479</v>
      </c>
    </row>
    <row r="377">
      <c r="B377" s="3" t="s">
        <v>1623</v>
      </c>
    </row>
    <row r="378">
      <c r="B378" s="3" t="s">
        <v>1399</v>
      </c>
    </row>
    <row r="379">
      <c r="B379" s="3" t="s">
        <v>1624</v>
      </c>
    </row>
    <row r="380">
      <c r="B380" s="3" t="s">
        <v>1625</v>
      </c>
    </row>
    <row r="381">
      <c r="B381" s="3" t="s">
        <v>1626</v>
      </c>
    </row>
    <row r="382">
      <c r="B382" s="3" t="s">
        <v>1399</v>
      </c>
    </row>
    <row r="383">
      <c r="B383" s="3" t="s">
        <v>1627</v>
      </c>
    </row>
    <row r="384">
      <c r="B384" s="3" t="s">
        <v>1494</v>
      </c>
    </row>
    <row r="385">
      <c r="B385" s="3" t="s">
        <v>1628</v>
      </c>
    </row>
    <row r="386">
      <c r="B386" s="3" t="s">
        <v>1479</v>
      </c>
    </row>
    <row r="387">
      <c r="B387" s="3" t="s">
        <v>1629</v>
      </c>
    </row>
    <row r="388">
      <c r="B388" s="3" t="s">
        <v>1503</v>
      </c>
    </row>
    <row r="389">
      <c r="B389" s="3" t="s">
        <v>1630</v>
      </c>
    </row>
    <row r="390">
      <c r="B390" s="3" t="s">
        <v>1399</v>
      </c>
    </row>
    <row r="391">
      <c r="B391" s="3" t="s">
        <v>1631</v>
      </c>
    </row>
    <row r="392">
      <c r="B392" s="3" t="s">
        <v>1632</v>
      </c>
    </row>
    <row r="393">
      <c r="B393" s="3" t="s">
        <v>1633</v>
      </c>
    </row>
    <row r="396">
      <c r="B396" s="3" t="s">
        <v>1634</v>
      </c>
    </row>
    <row r="398">
      <c r="B398" s="3" t="s">
        <v>1420</v>
      </c>
    </row>
    <row r="399">
      <c r="B399" s="3" t="s">
        <v>1635</v>
      </c>
    </row>
    <row r="400">
      <c r="B400" s="3" t="s">
        <v>1636</v>
      </c>
    </row>
    <row r="401">
      <c r="B401" s="3" t="s">
        <v>1399</v>
      </c>
    </row>
    <row r="402">
      <c r="B402" s="3" t="s">
        <v>1637</v>
      </c>
    </row>
    <row r="403">
      <c r="B403" s="3" t="s">
        <v>1638</v>
      </c>
    </row>
    <row r="404">
      <c r="B404" s="3" t="s">
        <v>1639</v>
      </c>
    </row>
    <row r="405">
      <c r="B405" s="3" t="s">
        <v>1399</v>
      </c>
    </row>
    <row r="406">
      <c r="B406" s="3" t="s">
        <v>1640</v>
      </c>
    </row>
    <row r="407">
      <c r="B407" s="3" t="s">
        <v>1641</v>
      </c>
    </row>
    <row r="408">
      <c r="B408" s="3" t="s">
        <v>1399</v>
      </c>
    </row>
    <row r="409">
      <c r="B409" s="3" t="s">
        <v>1642</v>
      </c>
    </row>
    <row r="410">
      <c r="B410" s="3" t="s">
        <v>1643</v>
      </c>
    </row>
    <row r="411">
      <c r="B411" s="3" t="s">
        <v>1644</v>
      </c>
    </row>
    <row r="412">
      <c r="B412" s="3" t="s">
        <v>1399</v>
      </c>
    </row>
    <row r="413">
      <c r="B413" s="3" t="s">
        <v>1645</v>
      </c>
    </row>
    <row r="414">
      <c r="B414" s="3" t="s">
        <v>1646</v>
      </c>
    </row>
    <row r="417">
      <c r="B417" s="3" t="s">
        <v>1647</v>
      </c>
    </row>
    <row r="419">
      <c r="B419" s="3" t="s">
        <v>1420</v>
      </c>
    </row>
    <row r="420">
      <c r="B420" s="3" t="s">
        <v>1648</v>
      </c>
    </row>
    <row r="421">
      <c r="B421" s="3" t="s">
        <v>1649</v>
      </c>
    </row>
    <row r="422">
      <c r="B422" s="3" t="s">
        <v>1399</v>
      </c>
    </row>
    <row r="423">
      <c r="B423" s="3" t="s">
        <v>1650</v>
      </c>
    </row>
    <row r="424">
      <c r="B424" s="3" t="s">
        <v>1651</v>
      </c>
    </row>
    <row r="425">
      <c r="B425" s="3" t="s">
        <v>1399</v>
      </c>
    </row>
    <row r="426">
      <c r="B426" s="3" t="s">
        <v>1652</v>
      </c>
    </row>
    <row r="427">
      <c r="B427" s="3" t="s">
        <v>1653</v>
      </c>
    </row>
    <row r="428">
      <c r="B428" s="3" t="s">
        <v>1654</v>
      </c>
    </row>
    <row r="429">
      <c r="B429" s="3" t="s">
        <v>1399</v>
      </c>
    </row>
    <row r="430">
      <c r="B430" s="3" t="s">
        <v>1655</v>
      </c>
    </row>
    <row r="431">
      <c r="B431" s="3" t="s">
        <v>1656</v>
      </c>
    </row>
    <row r="432">
      <c r="B432" s="3" t="s">
        <v>1657</v>
      </c>
    </row>
    <row r="433">
      <c r="B433" s="3" t="s">
        <v>1658</v>
      </c>
    </row>
    <row r="434">
      <c r="B434" s="3" t="s">
        <v>1659</v>
      </c>
    </row>
    <row r="435">
      <c r="B435" s="3" t="s">
        <v>1660</v>
      </c>
    </row>
    <row r="436">
      <c r="B436" s="3" t="s">
        <v>1399</v>
      </c>
    </row>
    <row r="437">
      <c r="B437" s="3" t="s">
        <v>1661</v>
      </c>
    </row>
    <row r="438">
      <c r="B438" s="3" t="s">
        <v>1662</v>
      </c>
    </row>
    <row r="439">
      <c r="B439" s="3" t="s">
        <v>1656</v>
      </c>
    </row>
    <row r="440">
      <c r="B440" s="3" t="s">
        <v>1663</v>
      </c>
    </row>
    <row r="441">
      <c r="B441" s="3" t="s">
        <v>1399</v>
      </c>
    </row>
    <row r="442">
      <c r="B442" s="3" t="s">
        <v>1664</v>
      </c>
    </row>
    <row r="443">
      <c r="B443" s="3" t="s">
        <v>1665</v>
      </c>
    </row>
    <row r="444">
      <c r="B444" s="3" t="s">
        <v>1399</v>
      </c>
    </row>
    <row r="445">
      <c r="B445" s="3" t="s">
        <v>1666</v>
      </c>
    </row>
    <row r="446">
      <c r="B446" s="3" t="s">
        <v>1667</v>
      </c>
    </row>
    <row r="447">
      <c r="B447" s="3" t="s">
        <v>1399</v>
      </c>
    </row>
    <row r="448">
      <c r="B448" s="3" t="s">
        <v>1668</v>
      </c>
    </row>
    <row r="451">
      <c r="B451" s="3" t="s">
        <v>1669</v>
      </c>
    </row>
    <row r="453">
      <c r="B453" s="3" t="s">
        <v>1420</v>
      </c>
    </row>
    <row r="456">
      <c r="B456" s="3" t="s">
        <v>1670</v>
      </c>
    </row>
    <row r="458">
      <c r="B458" s="3" t="s">
        <v>1420</v>
      </c>
    </row>
    <row r="461">
      <c r="B461" s="3" t="s">
        <v>1671</v>
      </c>
    </row>
    <row r="463">
      <c r="B463" s="3" t="s">
        <v>1420</v>
      </c>
    </row>
    <row r="464">
      <c r="B464" s="3" t="s">
        <v>1672</v>
      </c>
    </row>
    <row r="465">
      <c r="B465" s="3" t="s">
        <v>1673</v>
      </c>
    </row>
    <row r="466">
      <c r="B466" s="3" t="s">
        <v>1674</v>
      </c>
    </row>
    <row r="467">
      <c r="B467" s="3" t="s">
        <v>1399</v>
      </c>
    </row>
    <row r="468">
      <c r="B468" s="3" t="s">
        <v>1675</v>
      </c>
    </row>
    <row r="469">
      <c r="B469" s="3" t="s">
        <v>1676</v>
      </c>
    </row>
    <row r="470">
      <c r="B470" s="3" t="s">
        <v>1677</v>
      </c>
    </row>
    <row r="471">
      <c r="B471" s="3" t="s">
        <v>1678</v>
      </c>
    </row>
    <row r="472">
      <c r="B472" s="3" t="s">
        <v>1399</v>
      </c>
    </row>
    <row r="473">
      <c r="B473" s="3" t="s">
        <v>1679</v>
      </c>
    </row>
    <row r="474">
      <c r="B474" s="3" t="s">
        <v>1680</v>
      </c>
    </row>
    <row r="475">
      <c r="B475" s="3" t="s">
        <v>1681</v>
      </c>
    </row>
    <row r="476">
      <c r="B476" s="3" t="s">
        <v>1399</v>
      </c>
    </row>
    <row r="477">
      <c r="B477" s="3" t="s">
        <v>1682</v>
      </c>
    </row>
    <row r="478">
      <c r="B478" s="3" t="s">
        <v>1683</v>
      </c>
    </row>
    <row r="479">
      <c r="B479" s="3" t="s">
        <v>1684</v>
      </c>
    </row>
    <row r="480">
      <c r="B480" s="3" t="s">
        <v>1506</v>
      </c>
    </row>
    <row r="481">
      <c r="B481" s="3" t="s">
        <v>1685</v>
      </c>
    </row>
    <row r="482">
      <c r="B482" s="3" t="s">
        <v>1686</v>
      </c>
    </row>
    <row r="483">
      <c r="B483" s="3" t="s">
        <v>1687</v>
      </c>
    </row>
    <row r="484">
      <c r="B484" s="3" t="s">
        <v>1399</v>
      </c>
    </row>
    <row r="485">
      <c r="B485" s="3" t="s">
        <v>1688</v>
      </c>
    </row>
    <row r="486">
      <c r="B486" s="3" t="s">
        <v>1689</v>
      </c>
    </row>
    <row r="487">
      <c r="B487" s="3" t="s">
        <v>1690</v>
      </c>
    </row>
    <row r="488">
      <c r="B488" s="3" t="s">
        <v>1399</v>
      </c>
    </row>
    <row r="489">
      <c r="B489" s="3" t="s">
        <v>1691</v>
      </c>
    </row>
    <row r="490">
      <c r="B490" s="3" t="s">
        <v>1692</v>
      </c>
    </row>
    <row r="491">
      <c r="B491" s="3" t="s">
        <v>1693</v>
      </c>
    </row>
    <row r="492">
      <c r="B492" s="3" t="s">
        <v>1399</v>
      </c>
    </row>
    <row r="493">
      <c r="B493" s="3" t="s">
        <v>1694</v>
      </c>
    </row>
    <row r="494">
      <c r="B494" s="3" t="s">
        <v>1695</v>
      </c>
    </row>
    <row r="495">
      <c r="B495" s="3" t="s">
        <v>1696</v>
      </c>
    </row>
    <row r="496">
      <c r="B496" s="3" t="s">
        <v>1697</v>
      </c>
    </row>
    <row r="497">
      <c r="B497" s="3" t="s">
        <v>1698</v>
      </c>
    </row>
    <row r="498">
      <c r="B498" s="3" t="s">
        <v>1399</v>
      </c>
    </row>
    <row r="499">
      <c r="B499" s="3" t="s">
        <v>1699</v>
      </c>
    </row>
    <row r="500">
      <c r="B500" s="3" t="s">
        <v>1700</v>
      </c>
    </row>
    <row r="501">
      <c r="B501" s="3" t="s">
        <v>1701</v>
      </c>
    </row>
    <row r="502">
      <c r="B502" s="3" t="s">
        <v>1399</v>
      </c>
    </row>
    <row r="503">
      <c r="B503" s="3" t="s">
        <v>1702</v>
      </c>
    </row>
    <row r="506">
      <c r="B506" s="3" t="s">
        <v>1703</v>
      </c>
    </row>
    <row r="508">
      <c r="B508" s="3" t="s">
        <v>1420</v>
      </c>
    </row>
    <row r="511">
      <c r="B511" s="3" t="s">
        <v>1704</v>
      </c>
    </row>
    <row r="513">
      <c r="B513" s="3" t="s">
        <v>1420</v>
      </c>
    </row>
    <row r="514">
      <c r="B514" s="3" t="s">
        <v>1705</v>
      </c>
    </row>
    <row r="515">
      <c r="B515" s="3" t="s">
        <v>1399</v>
      </c>
    </row>
    <row r="516">
      <c r="B516" s="3" t="s">
        <v>1706</v>
      </c>
    </row>
    <row r="517">
      <c r="B517" s="3" t="s">
        <v>1707</v>
      </c>
    </row>
    <row r="520">
      <c r="B520" s="3" t="s">
        <v>1708</v>
      </c>
    </row>
    <row r="522">
      <c r="B522" s="3" t="s">
        <v>1420</v>
      </c>
    </row>
    <row r="523">
      <c r="B523" s="3" t="s">
        <v>1709</v>
      </c>
    </row>
    <row r="524">
      <c r="B524" s="3" t="s">
        <v>1399</v>
      </c>
    </row>
    <row r="525">
      <c r="B525" s="3" t="s">
        <v>1710</v>
      </c>
    </row>
    <row r="526">
      <c r="B526" s="3" t="s">
        <v>1711</v>
      </c>
    </row>
    <row r="527">
      <c r="B527" s="3" t="s">
        <v>1712</v>
      </c>
    </row>
    <row r="530">
      <c r="B530" s="3" t="s">
        <v>1713</v>
      </c>
    </row>
    <row r="532">
      <c r="B532" s="3" t="s">
        <v>1420</v>
      </c>
    </row>
    <row r="533">
      <c r="B533" s="3" t="s">
        <v>1714</v>
      </c>
    </row>
    <row r="534">
      <c r="B534" s="3" t="s">
        <v>1399</v>
      </c>
    </row>
    <row r="535">
      <c r="B535" s="3" t="s">
        <v>1715</v>
      </c>
    </row>
    <row r="538">
      <c r="B538" s="3" t="s">
        <v>1716</v>
      </c>
    </row>
    <row r="540">
      <c r="B540" s="3" t="s">
        <v>1420</v>
      </c>
    </row>
    <row r="541">
      <c r="B541" s="3" t="s">
        <v>1717</v>
      </c>
    </row>
    <row r="542">
      <c r="B542" s="3" t="s">
        <v>1479</v>
      </c>
    </row>
    <row r="543">
      <c r="B543" s="3" t="s">
        <v>1718</v>
      </c>
    </row>
    <row r="544">
      <c r="B544" s="3" t="s">
        <v>1719</v>
      </c>
    </row>
    <row r="545">
      <c r="B545" s="3" t="s">
        <v>1399</v>
      </c>
    </row>
    <row r="546">
      <c r="B546" s="3" t="s">
        <v>1720</v>
      </c>
    </row>
    <row r="547">
      <c r="B547" s="3" t="s">
        <v>1721</v>
      </c>
    </row>
    <row r="548">
      <c r="B548" s="3" t="s">
        <v>1399</v>
      </c>
    </row>
    <row r="549">
      <c r="B549" s="3" t="s">
        <v>1722</v>
      </c>
    </row>
    <row r="550">
      <c r="B550" s="3" t="s">
        <v>1723</v>
      </c>
    </row>
    <row r="551">
      <c r="B551" s="3" t="s">
        <v>1503</v>
      </c>
    </row>
    <row r="552">
      <c r="B552" s="3" t="s">
        <v>1724</v>
      </c>
    </row>
    <row r="553">
      <c r="B553" s="3" t="s">
        <v>1725</v>
      </c>
    </row>
    <row r="554">
      <c r="B554" s="3" t="s">
        <v>1399</v>
      </c>
    </row>
    <row r="555">
      <c r="B555" s="3" t="s">
        <v>1726</v>
      </c>
    </row>
    <row r="556">
      <c r="B556" s="3" t="s">
        <v>1727</v>
      </c>
    </row>
    <row r="557">
      <c r="B557" s="3" t="s">
        <v>1728</v>
      </c>
    </row>
    <row r="558">
      <c r="B558" s="3" t="s">
        <v>1399</v>
      </c>
    </row>
    <row r="559">
      <c r="B559" s="3" t="s">
        <v>1729</v>
      </c>
    </row>
    <row r="562">
      <c r="B562" s="3" t="s">
        <v>1730</v>
      </c>
    </row>
    <row r="564">
      <c r="B564" s="3" t="s">
        <v>1420</v>
      </c>
    </row>
    <row r="567">
      <c r="B567" s="3" t="s">
        <v>1731</v>
      </c>
    </row>
    <row r="569">
      <c r="B569" s="3" t="s">
        <v>1420</v>
      </c>
    </row>
    <row r="570">
      <c r="B570" s="3" t="s">
        <v>1732</v>
      </c>
    </row>
    <row r="571">
      <c r="B571" s="3" t="s">
        <v>1479</v>
      </c>
    </row>
    <row r="572">
      <c r="B572" s="3" t="s">
        <v>1733</v>
      </c>
    </row>
    <row r="573">
      <c r="B573" s="3" t="s">
        <v>1503</v>
      </c>
    </row>
    <row r="574">
      <c r="B574" s="3" t="s">
        <v>1734</v>
      </c>
    </row>
    <row r="575">
      <c r="B575" s="3" t="s">
        <v>1735</v>
      </c>
    </row>
    <row r="576">
      <c r="B576" s="3" t="s">
        <v>1399</v>
      </c>
    </row>
    <row r="577">
      <c r="B577" s="3" t="s">
        <v>1736</v>
      </c>
    </row>
    <row r="578">
      <c r="B578" s="3" t="s">
        <v>1737</v>
      </c>
    </row>
    <row r="579">
      <c r="B579" s="3" t="s">
        <v>1738</v>
      </c>
    </row>
    <row r="580">
      <c r="B580" s="3" t="s">
        <v>1399</v>
      </c>
    </row>
    <row r="581">
      <c r="B581" s="3" t="s">
        <v>1739</v>
      </c>
    </row>
    <row r="582">
      <c r="B582" s="3" t="s">
        <v>1740</v>
      </c>
    </row>
    <row r="583">
      <c r="B583" s="3" t="s">
        <v>1741</v>
      </c>
    </row>
    <row r="584">
      <c r="B584" s="3" t="s">
        <v>1742</v>
      </c>
    </row>
    <row r="585">
      <c r="B585" s="3" t="s">
        <v>1743</v>
      </c>
    </row>
    <row r="586">
      <c r="B586" s="3" t="s">
        <v>1744</v>
      </c>
    </row>
    <row r="587">
      <c r="B587" s="3" t="s">
        <v>1479</v>
      </c>
    </row>
    <row r="588">
      <c r="B588" s="3" t="s">
        <v>1745</v>
      </c>
    </row>
    <row r="589">
      <c r="B589" s="3" t="s">
        <v>1503</v>
      </c>
    </row>
    <row r="590">
      <c r="B590" s="3" t="s">
        <v>1746</v>
      </c>
    </row>
    <row r="591">
      <c r="B591" s="3" t="s">
        <v>1399</v>
      </c>
    </row>
    <row r="592">
      <c r="B592" s="3" t="s">
        <v>1747</v>
      </c>
    </row>
    <row r="595">
      <c r="B595" s="3" t="s">
        <v>1748</v>
      </c>
    </row>
    <row r="597">
      <c r="B597" s="3" t="s">
        <v>1420</v>
      </c>
    </row>
    <row r="598">
      <c r="B598" s="3" t="s">
        <v>1749</v>
      </c>
    </row>
    <row r="599">
      <c r="B599" s="3" t="s">
        <v>1750</v>
      </c>
    </row>
    <row r="600">
      <c r="B600" s="3" t="s">
        <v>1399</v>
      </c>
    </row>
    <row r="601">
      <c r="B601" s="3" t="s">
        <v>1751</v>
      </c>
    </row>
    <row r="602">
      <c r="B602" s="3" t="s">
        <v>1752</v>
      </c>
    </row>
    <row r="603">
      <c r="B603" s="3" t="s">
        <v>1399</v>
      </c>
    </row>
    <row r="604">
      <c r="B604" s="3" t="s">
        <v>1753</v>
      </c>
    </row>
    <row r="605">
      <c r="B605" s="3" t="s">
        <v>1754</v>
      </c>
    </row>
    <row r="606">
      <c r="B606" s="3" t="s">
        <v>1755</v>
      </c>
    </row>
    <row r="607">
      <c r="B607" s="3" t="s">
        <v>1756</v>
      </c>
    </row>
    <row r="608">
      <c r="B608" s="3" t="s">
        <v>1757</v>
      </c>
    </row>
    <row r="609">
      <c r="B609" s="3" t="s">
        <v>1758</v>
      </c>
    </row>
    <row r="610">
      <c r="B610" s="3" t="s">
        <v>1399</v>
      </c>
    </row>
    <row r="611">
      <c r="B611" s="3" t="s">
        <v>1759</v>
      </c>
    </row>
    <row r="612">
      <c r="B612" s="3" t="s">
        <v>1638</v>
      </c>
    </row>
    <row r="615">
      <c r="B615" s="3" t="s">
        <v>1760</v>
      </c>
    </row>
    <row r="617">
      <c r="B617" s="3" t="s">
        <v>1420</v>
      </c>
    </row>
    <row r="618">
      <c r="B618" s="3" t="s">
        <v>1761</v>
      </c>
    </row>
    <row r="621">
      <c r="B621" s="3" t="s">
        <v>1762</v>
      </c>
    </row>
    <row r="623">
      <c r="B623" s="3" t="s">
        <v>1420</v>
      </c>
    </row>
    <row r="624">
      <c r="B624" s="3" t="s">
        <v>1763</v>
      </c>
    </row>
    <row r="627">
      <c r="B627" s="3" t="s">
        <v>1764</v>
      </c>
    </row>
    <row r="629">
      <c r="B629" s="3" t="s">
        <v>1420</v>
      </c>
    </row>
    <row r="630">
      <c r="B630" s="3" t="s">
        <v>1765</v>
      </c>
    </row>
    <row r="631">
      <c r="B631" s="3" t="s">
        <v>1399</v>
      </c>
    </row>
    <row r="632">
      <c r="B632" s="3" t="s">
        <v>1766</v>
      </c>
    </row>
    <row r="635">
      <c r="B635" s="3" t="s">
        <v>1748</v>
      </c>
    </row>
    <row r="637">
      <c r="B637" s="3" t="s">
        <v>1420</v>
      </c>
    </row>
    <row r="638">
      <c r="B638" s="3" t="s">
        <v>1767</v>
      </c>
    </row>
    <row r="639">
      <c r="B639" s="3" t="s">
        <v>1399</v>
      </c>
    </row>
    <row r="640">
      <c r="B640" s="3" t="s">
        <v>1768</v>
      </c>
    </row>
    <row r="643">
      <c r="B643" s="3" t="s">
        <v>1769</v>
      </c>
    </row>
    <row r="645">
      <c r="B645" s="3" t="s">
        <v>1420</v>
      </c>
    </row>
    <row r="646">
      <c r="B646" s="3" t="s">
        <v>1770</v>
      </c>
    </row>
    <row r="647">
      <c r="B647" s="3" t="s">
        <v>1771</v>
      </c>
    </row>
    <row r="648">
      <c r="B648" s="3" t="s">
        <v>1772</v>
      </c>
    </row>
    <row r="649">
      <c r="B649" s="3" t="s">
        <v>1773</v>
      </c>
    </row>
    <row r="650">
      <c r="B650" s="3" t="s">
        <v>1774</v>
      </c>
    </row>
    <row r="651">
      <c r="B651" s="3" t="s">
        <v>1399</v>
      </c>
    </row>
    <row r="652">
      <c r="B652" s="3" t="s">
        <v>1775</v>
      </c>
    </row>
    <row r="653">
      <c r="B653" s="3" t="s">
        <v>1776</v>
      </c>
    </row>
    <row r="654">
      <c r="B654" s="3" t="s">
        <v>1777</v>
      </c>
    </row>
    <row r="655">
      <c r="B655" s="3" t="s">
        <v>1399</v>
      </c>
    </row>
    <row r="656">
      <c r="B656" s="3" t="s">
        <v>1778</v>
      </c>
    </row>
    <row r="657">
      <c r="B657" s="3" t="s">
        <v>1779</v>
      </c>
    </row>
    <row r="658">
      <c r="B658" s="3" t="s">
        <v>1399</v>
      </c>
    </row>
    <row r="659">
      <c r="B659" s="3" t="s">
        <v>1776</v>
      </c>
    </row>
    <row r="660">
      <c r="B660" s="3" t="s">
        <v>1780</v>
      </c>
    </row>
    <row r="661">
      <c r="B661" s="3" t="s">
        <v>1399</v>
      </c>
    </row>
    <row r="662">
      <c r="B662" s="3" t="s">
        <v>1781</v>
      </c>
    </row>
    <row r="663">
      <c r="B663" s="3" t="s">
        <v>1782</v>
      </c>
    </row>
    <row r="664">
      <c r="B664" s="3" t="s">
        <v>1783</v>
      </c>
    </row>
    <row r="665">
      <c r="B665" s="3" t="s">
        <v>1399</v>
      </c>
    </row>
    <row r="666">
      <c r="B666" s="3" t="s">
        <v>1784</v>
      </c>
    </row>
    <row r="667">
      <c r="B667" s="3" t="s">
        <v>1677</v>
      </c>
    </row>
    <row r="668">
      <c r="B668" s="3" t="s">
        <v>1785</v>
      </c>
    </row>
    <row r="671">
      <c r="B671" s="3" t="s">
        <v>1786</v>
      </c>
    </row>
    <row r="673">
      <c r="B673" s="3" t="s">
        <v>1420</v>
      </c>
    </row>
    <row r="674">
      <c r="B674" s="3" t="s">
        <v>1787</v>
      </c>
    </row>
    <row r="675">
      <c r="B675" s="3" t="s">
        <v>1788</v>
      </c>
    </row>
    <row r="676">
      <c r="B676" s="3" t="s">
        <v>1399</v>
      </c>
    </row>
    <row r="677">
      <c r="B677" s="3" t="s">
        <v>1789</v>
      </c>
    </row>
    <row r="678">
      <c r="B678" s="3" t="s">
        <v>1790</v>
      </c>
    </row>
    <row r="679">
      <c r="B679" s="3" t="s">
        <v>1399</v>
      </c>
    </row>
    <row r="680">
      <c r="B680" s="3" t="s">
        <v>1791</v>
      </c>
    </row>
    <row r="681">
      <c r="B681" s="3" t="s">
        <v>1792</v>
      </c>
    </row>
    <row r="682">
      <c r="B682" s="3" t="s">
        <v>1399</v>
      </c>
    </row>
    <row r="683">
      <c r="B683" s="3" t="s">
        <v>1793</v>
      </c>
    </row>
    <row r="684">
      <c r="B684" s="3" t="s">
        <v>1794</v>
      </c>
    </row>
    <row r="685">
      <c r="B685" s="3" t="s">
        <v>1795</v>
      </c>
    </row>
    <row r="686">
      <c r="B686" s="3" t="s">
        <v>1399</v>
      </c>
    </row>
    <row r="687">
      <c r="B687" s="3" t="s">
        <v>1796</v>
      </c>
    </row>
    <row r="688">
      <c r="B688" s="3" t="s">
        <v>1797</v>
      </c>
    </row>
    <row r="689">
      <c r="B689" s="3" t="s">
        <v>1399</v>
      </c>
    </row>
    <row r="690">
      <c r="B690" s="3" t="s">
        <v>1798</v>
      </c>
    </row>
    <row r="691">
      <c r="B691" s="3" t="s">
        <v>1799</v>
      </c>
    </row>
    <row r="692">
      <c r="B692" s="3" t="s">
        <v>1399</v>
      </c>
    </row>
    <row r="693">
      <c r="B693" s="3" t="s">
        <v>1800</v>
      </c>
    </row>
    <row r="694">
      <c r="B694" s="3" t="s">
        <v>1801</v>
      </c>
    </row>
    <row r="695">
      <c r="B695" s="3" t="s">
        <v>1802</v>
      </c>
    </row>
    <row r="696">
      <c r="B696" s="3" t="s">
        <v>1803</v>
      </c>
    </row>
    <row r="697">
      <c r="B697" s="3" t="s">
        <v>1399</v>
      </c>
    </row>
    <row r="698">
      <c r="B698" s="3" t="s">
        <v>1804</v>
      </c>
    </row>
    <row r="701">
      <c r="B701" s="3" t="s">
        <v>1805</v>
      </c>
    </row>
    <row r="703">
      <c r="B703" s="3" t="s">
        <v>1420</v>
      </c>
    </row>
    <row r="704">
      <c r="B704" s="3" t="s">
        <v>1806</v>
      </c>
    </row>
    <row r="705">
      <c r="B705" s="3" t="s">
        <v>1807</v>
      </c>
    </row>
    <row r="706">
      <c r="B706" s="3" t="s">
        <v>1808</v>
      </c>
    </row>
    <row r="709">
      <c r="B709" s="3" t="s">
        <v>1809</v>
      </c>
    </row>
    <row r="711">
      <c r="B711" s="3" t="s">
        <v>1420</v>
      </c>
    </row>
    <row r="712">
      <c r="B712" s="3" t="s">
        <v>1810</v>
      </c>
    </row>
    <row r="713">
      <c r="B713" s="3" t="s">
        <v>1399</v>
      </c>
    </row>
    <row r="714">
      <c r="B714" s="3" t="s">
        <v>1811</v>
      </c>
    </row>
    <row r="715">
      <c r="B715" s="3" t="s">
        <v>1812</v>
      </c>
    </row>
    <row r="718">
      <c r="B718" s="3" t="s">
        <v>1813</v>
      </c>
    </row>
    <row r="720">
      <c r="B720" s="3" t="s">
        <v>1420</v>
      </c>
    </row>
    <row r="721">
      <c r="B721" s="3" t="s">
        <v>1814</v>
      </c>
    </row>
    <row r="722">
      <c r="B722" s="3" t="s">
        <v>1815</v>
      </c>
    </row>
    <row r="723">
      <c r="B723" s="3" t="s">
        <v>1399</v>
      </c>
    </row>
    <row r="724">
      <c r="B724" s="3" t="s">
        <v>1816</v>
      </c>
    </row>
    <row r="725">
      <c r="B725" s="3" t="s">
        <v>1817</v>
      </c>
    </row>
    <row r="726">
      <c r="B726" s="3" t="s">
        <v>1818</v>
      </c>
    </row>
    <row r="727">
      <c r="B727" s="3" t="s">
        <v>1399</v>
      </c>
    </row>
    <row r="728">
      <c r="B728" s="3" t="s">
        <v>1819</v>
      </c>
    </row>
    <row r="729">
      <c r="B729" s="3" t="s">
        <v>1820</v>
      </c>
    </row>
    <row r="730">
      <c r="B730" s="3" t="s">
        <v>1399</v>
      </c>
    </row>
    <row r="731">
      <c r="B731" s="3" t="s">
        <v>1821</v>
      </c>
    </row>
    <row r="732">
      <c r="B732" s="3" t="s">
        <v>1822</v>
      </c>
    </row>
    <row r="733">
      <c r="B733" s="3" t="s">
        <v>1823</v>
      </c>
    </row>
    <row r="734">
      <c r="B734" s="3" t="s">
        <v>1399</v>
      </c>
    </row>
    <row r="735">
      <c r="B735" s="3" t="s">
        <v>1824</v>
      </c>
    </row>
    <row r="736">
      <c r="B736" s="3" t="s">
        <v>1825</v>
      </c>
    </row>
    <row r="737">
      <c r="B737" s="3" t="s">
        <v>1826</v>
      </c>
    </row>
    <row r="738">
      <c r="B738" s="3" t="s">
        <v>1827</v>
      </c>
    </row>
    <row r="739">
      <c r="B739" s="3" t="s">
        <v>1828</v>
      </c>
    </row>
    <row r="740">
      <c r="B740" s="3" t="s">
        <v>1829</v>
      </c>
    </row>
    <row r="741">
      <c r="B741" s="3" t="s">
        <v>1399</v>
      </c>
    </row>
    <row r="742">
      <c r="B742" s="3" t="s">
        <v>1830</v>
      </c>
    </row>
    <row r="743">
      <c r="B743" s="3" t="s">
        <v>1831</v>
      </c>
    </row>
    <row r="744">
      <c r="B744" s="3" t="s">
        <v>1399</v>
      </c>
    </row>
    <row r="745">
      <c r="B745" s="3" t="s">
        <v>1832</v>
      </c>
    </row>
    <row r="748">
      <c r="B748" s="3" t="s">
        <v>1833</v>
      </c>
    </row>
    <row r="750">
      <c r="B750" s="3" t="s">
        <v>1420</v>
      </c>
    </row>
    <row r="751">
      <c r="B751" s="3" t="s">
        <v>1834</v>
      </c>
    </row>
    <row r="752">
      <c r="B752" s="3" t="s">
        <v>1399</v>
      </c>
    </row>
    <row r="753">
      <c r="B753" s="3" t="s">
        <v>1835</v>
      </c>
    </row>
    <row r="754">
      <c r="B754" s="3" t="s">
        <v>1836</v>
      </c>
    </row>
    <row r="755">
      <c r="B755" s="3" t="s">
        <v>1399</v>
      </c>
    </row>
    <row r="756">
      <c r="B756" s="3" t="s">
        <v>1837</v>
      </c>
    </row>
    <row r="759">
      <c r="B759" s="3" t="s">
        <v>1838</v>
      </c>
    </row>
    <row r="761">
      <c r="B761" s="3" t="s">
        <v>1420</v>
      </c>
    </row>
    <row r="762">
      <c r="B762" s="3" t="s">
        <v>1839</v>
      </c>
    </row>
    <row r="763">
      <c r="B763" s="3" t="s">
        <v>1399</v>
      </c>
    </row>
    <row r="764">
      <c r="B764" s="3" t="s">
        <v>1840</v>
      </c>
    </row>
    <row r="765">
      <c r="B765" s="3" t="s">
        <v>1841</v>
      </c>
    </row>
    <row r="768">
      <c r="B768" s="3" t="s">
        <v>1842</v>
      </c>
    </row>
    <row r="770">
      <c r="B770" s="3" t="s">
        <v>1420</v>
      </c>
    </row>
    <row r="771">
      <c r="B771" s="3" t="s">
        <v>1843</v>
      </c>
    </row>
    <row r="772">
      <c r="B772" s="3" t="s">
        <v>1399</v>
      </c>
    </row>
    <row r="773">
      <c r="B773" s="3" t="s">
        <v>1844</v>
      </c>
    </row>
    <row r="776">
      <c r="B776" s="3" t="s">
        <v>1845</v>
      </c>
    </row>
    <row r="778">
      <c r="B778" s="3" t="s">
        <v>1420</v>
      </c>
    </row>
    <row r="779">
      <c r="B779" s="3" t="s">
        <v>1846</v>
      </c>
    </row>
    <row r="780">
      <c r="B780" s="3" t="s">
        <v>1399</v>
      </c>
    </row>
    <row r="781">
      <c r="B781" s="3" t="s">
        <v>1847</v>
      </c>
    </row>
    <row r="784">
      <c r="B784" s="3" t="s">
        <v>1848</v>
      </c>
    </row>
    <row r="786">
      <c r="B786" s="3" t="s">
        <v>1420</v>
      </c>
    </row>
    <row r="787">
      <c r="B787" s="3" t="s">
        <v>1849</v>
      </c>
    </row>
    <row r="788">
      <c r="B788" s="3" t="s">
        <v>1850</v>
      </c>
    </row>
    <row r="789">
      <c r="B789" s="3" t="s">
        <v>1851</v>
      </c>
    </row>
    <row r="790">
      <c r="B790" s="3" t="s">
        <v>1399</v>
      </c>
    </row>
    <row r="791">
      <c r="B791" s="3" t="s">
        <v>1852</v>
      </c>
    </row>
    <row r="792">
      <c r="B792" s="3" t="s">
        <v>1853</v>
      </c>
    </row>
    <row r="793">
      <c r="B793" s="3" t="s">
        <v>1399</v>
      </c>
    </row>
    <row r="794">
      <c r="B794" s="3" t="s">
        <v>1740</v>
      </c>
    </row>
    <row r="795">
      <c r="B795" s="3" t="s">
        <v>1494</v>
      </c>
    </row>
    <row r="796">
      <c r="B796" s="3" t="s">
        <v>1854</v>
      </c>
    </row>
    <row r="797">
      <c r="B797" s="3" t="s">
        <v>1399</v>
      </c>
    </row>
    <row r="798">
      <c r="B798" s="3" t="s">
        <v>1855</v>
      </c>
    </row>
    <row r="799">
      <c r="B799" s="3" t="s">
        <v>1741</v>
      </c>
    </row>
    <row r="800">
      <c r="B800" s="3" t="s">
        <v>1856</v>
      </c>
    </row>
    <row r="801">
      <c r="B801" s="3" t="s">
        <v>1854</v>
      </c>
    </row>
    <row r="802">
      <c r="B802" s="3" t="s">
        <v>1857</v>
      </c>
    </row>
    <row r="803">
      <c r="B803" s="3" t="s">
        <v>1399</v>
      </c>
    </row>
    <row r="804">
      <c r="B804" s="3" t="s">
        <v>1858</v>
      </c>
    </row>
    <row r="805">
      <c r="B805" s="3" t="s">
        <v>1859</v>
      </c>
    </row>
    <row r="808">
      <c r="B808" s="3" t="s">
        <v>1860</v>
      </c>
    </row>
    <row r="810">
      <c r="B810" s="3" t="s">
        <v>1420</v>
      </c>
    </row>
    <row r="811">
      <c r="B811" s="3" t="s">
        <v>1861</v>
      </c>
    </row>
    <row r="812">
      <c r="B812" s="3" t="s">
        <v>1862</v>
      </c>
    </row>
    <row r="813">
      <c r="B813" s="3" t="s">
        <v>1399</v>
      </c>
    </row>
    <row r="814">
      <c r="B814" s="3" t="s">
        <v>1863</v>
      </c>
    </row>
    <row r="815">
      <c r="B815" s="3" t="s">
        <v>1864</v>
      </c>
    </row>
    <row r="816">
      <c r="B816" s="3" t="s">
        <v>1635</v>
      </c>
    </row>
    <row r="817">
      <c r="B817" s="3" t="s">
        <v>1399</v>
      </c>
    </row>
    <row r="818">
      <c r="B818" s="3" t="s">
        <v>1865</v>
      </c>
    </row>
    <row r="819">
      <c r="B819" s="3" t="s">
        <v>1866</v>
      </c>
    </row>
    <row r="820">
      <c r="B820" s="3" t="s">
        <v>1867</v>
      </c>
    </row>
    <row r="821">
      <c r="B821" s="3" t="s">
        <v>1868</v>
      </c>
    </row>
    <row r="822">
      <c r="B822" s="3" t="s">
        <v>1869</v>
      </c>
    </row>
    <row r="823">
      <c r="B823" s="3" t="s">
        <v>1870</v>
      </c>
    </row>
    <row r="826">
      <c r="B826" s="3" t="s">
        <v>1871</v>
      </c>
    </row>
    <row r="828">
      <c r="B828" s="3" t="s">
        <v>1420</v>
      </c>
    </row>
    <row r="829">
      <c r="B829" s="3" t="s">
        <v>1872</v>
      </c>
    </row>
    <row r="830">
      <c r="B830" s="3" t="s">
        <v>1873</v>
      </c>
    </row>
    <row r="831">
      <c r="B831" s="3" t="s">
        <v>1874</v>
      </c>
    </row>
    <row r="832">
      <c r="B832" s="3" t="s">
        <v>1875</v>
      </c>
    </row>
    <row r="833">
      <c r="B833" s="3" t="s">
        <v>1876</v>
      </c>
    </row>
    <row r="834">
      <c r="B834" s="3" t="s">
        <v>1877</v>
      </c>
    </row>
    <row r="835">
      <c r="B835" s="3" t="s">
        <v>1878</v>
      </c>
    </row>
    <row r="836">
      <c r="B836" s="3" t="s">
        <v>1399</v>
      </c>
    </row>
    <row r="837">
      <c r="B837" s="3" t="s">
        <v>1879</v>
      </c>
    </row>
    <row r="838">
      <c r="B838" s="3" t="s">
        <v>1880</v>
      </c>
    </row>
    <row r="839">
      <c r="B839" s="3" t="s">
        <v>1881</v>
      </c>
    </row>
    <row r="840">
      <c r="B840" s="3" t="s">
        <v>1399</v>
      </c>
    </row>
    <row r="841">
      <c r="B841" s="3" t="s">
        <v>1882</v>
      </c>
    </row>
    <row r="842">
      <c r="B842" s="3" t="s">
        <v>1883</v>
      </c>
    </row>
    <row r="843">
      <c r="B843" s="3" t="s">
        <v>1884</v>
      </c>
    </row>
    <row r="844">
      <c r="B844" s="3" t="s">
        <v>1399</v>
      </c>
    </row>
    <row r="845">
      <c r="B845" s="3" t="s">
        <v>1885</v>
      </c>
    </row>
    <row r="846">
      <c r="B846" s="3" t="s">
        <v>1882</v>
      </c>
    </row>
    <row r="847">
      <c r="B847" s="3" t="s">
        <v>1886</v>
      </c>
    </row>
    <row r="848">
      <c r="B848" s="3" t="s">
        <v>1869</v>
      </c>
    </row>
    <row r="849">
      <c r="B849" s="3" t="s">
        <v>1887</v>
      </c>
    </row>
    <row r="850">
      <c r="B850" s="3" t="s">
        <v>1888</v>
      </c>
    </row>
    <row r="851">
      <c r="B851" s="3" t="s">
        <v>1876</v>
      </c>
    </row>
    <row r="852">
      <c r="B852" s="3" t="s">
        <v>1889</v>
      </c>
    </row>
    <row r="853">
      <c r="B853" s="3" t="s">
        <v>1399</v>
      </c>
    </row>
    <row r="854">
      <c r="B854" s="3" t="s">
        <v>1890</v>
      </c>
    </row>
    <row r="855">
      <c r="B855" s="3" t="s">
        <v>1503</v>
      </c>
    </row>
    <row r="856">
      <c r="B856" s="3" t="s">
        <v>1891</v>
      </c>
    </row>
    <row r="857">
      <c r="B857" s="3" t="s">
        <v>1892</v>
      </c>
    </row>
    <row r="858">
      <c r="B858" s="3" t="s">
        <v>1399</v>
      </c>
    </row>
    <row r="859">
      <c r="B859" s="3" t="s">
        <v>1893</v>
      </c>
    </row>
    <row r="860">
      <c r="B860" s="3" t="s">
        <v>1894</v>
      </c>
    </row>
    <row r="861">
      <c r="B861" s="3" t="s">
        <v>1399</v>
      </c>
    </row>
    <row r="862">
      <c r="B862" s="3" t="s">
        <v>1895</v>
      </c>
    </row>
    <row r="863">
      <c r="B863" s="3" t="s">
        <v>1896</v>
      </c>
    </row>
    <row r="864">
      <c r="B864" s="3" t="s">
        <v>1897</v>
      </c>
    </row>
    <row r="865">
      <c r="B865" s="3" t="s">
        <v>1399</v>
      </c>
    </row>
    <row r="866">
      <c r="B866" s="3" t="s">
        <v>1898</v>
      </c>
    </row>
    <row r="869">
      <c r="B869" s="3" t="s">
        <v>1899</v>
      </c>
    </row>
    <row r="871">
      <c r="B871" s="3" t="s">
        <v>1420</v>
      </c>
    </row>
    <row r="872">
      <c r="B872" s="3" t="s">
        <v>1900</v>
      </c>
    </row>
    <row r="873">
      <c r="B873" s="3" t="s">
        <v>1901</v>
      </c>
    </row>
    <row r="874">
      <c r="B874" s="3" t="s">
        <v>1902</v>
      </c>
    </row>
    <row r="875">
      <c r="B875" s="3" t="s">
        <v>1903</v>
      </c>
    </row>
    <row r="876">
      <c r="B876" s="3" t="s">
        <v>1904</v>
      </c>
    </row>
    <row r="877">
      <c r="B877" s="3" t="s">
        <v>1905</v>
      </c>
    </row>
    <row r="878">
      <c r="B878" s="3" t="s">
        <v>1906</v>
      </c>
    </row>
    <row r="879">
      <c r="B879" s="3" t="s">
        <v>1907</v>
      </c>
    </row>
    <row r="880">
      <c r="B880" s="3" t="s">
        <v>1908</v>
      </c>
    </row>
    <row r="881">
      <c r="B881" s="3" t="s">
        <v>1909</v>
      </c>
    </row>
    <row r="882">
      <c r="B882" s="3" t="s">
        <v>1399</v>
      </c>
    </row>
    <row r="883">
      <c r="B883" s="3" t="s">
        <v>1910</v>
      </c>
    </row>
    <row r="884">
      <c r="B884" s="3" t="s">
        <v>1911</v>
      </c>
    </row>
    <row r="885">
      <c r="B885" s="3" t="s">
        <v>1912</v>
      </c>
    </row>
    <row r="886">
      <c r="B886" s="3" t="s">
        <v>1399</v>
      </c>
    </row>
    <row r="887">
      <c r="B887" s="3" t="s">
        <v>1913</v>
      </c>
    </row>
    <row r="888">
      <c r="B888" s="3" t="s">
        <v>1914</v>
      </c>
    </row>
    <row r="889">
      <c r="B889" s="3" t="s">
        <v>1915</v>
      </c>
    </row>
    <row r="890">
      <c r="B890" s="3" t="s">
        <v>1916</v>
      </c>
    </row>
    <row r="891">
      <c r="B891" s="3" t="s">
        <v>1399</v>
      </c>
    </row>
    <row r="892">
      <c r="B892" s="3" t="s">
        <v>1917</v>
      </c>
    </row>
    <row r="893">
      <c r="B893" s="3" t="s">
        <v>1918</v>
      </c>
    </row>
    <row r="894">
      <c r="B894" s="3" t="s">
        <v>1919</v>
      </c>
    </row>
    <row r="895">
      <c r="B895" s="3" t="s">
        <v>1920</v>
      </c>
    </row>
    <row r="896">
      <c r="B896" s="3" t="s">
        <v>1921</v>
      </c>
    </row>
    <row r="899">
      <c r="B899" s="3" t="s">
        <v>1922</v>
      </c>
    </row>
    <row r="901">
      <c r="B901" s="3" t="s">
        <v>1420</v>
      </c>
    </row>
    <row r="902">
      <c r="B902" s="3" t="s">
        <v>1923</v>
      </c>
    </row>
    <row r="903">
      <c r="B903" s="3" t="s">
        <v>1924</v>
      </c>
    </row>
    <row r="904">
      <c r="B904" s="3" t="s">
        <v>1925</v>
      </c>
    </row>
    <row r="905">
      <c r="B905" s="3" t="s">
        <v>1926</v>
      </c>
    </row>
    <row r="906">
      <c r="B906" s="3" t="s">
        <v>1399</v>
      </c>
    </row>
    <row r="907">
      <c r="B907" s="3" t="s">
        <v>1927</v>
      </c>
    </row>
    <row r="908">
      <c r="B908" s="3" t="s">
        <v>1928</v>
      </c>
    </row>
    <row r="909">
      <c r="B909" s="3" t="s">
        <v>1399</v>
      </c>
    </row>
    <row r="910">
      <c r="B910" s="3" t="s">
        <v>1929</v>
      </c>
    </row>
    <row r="911">
      <c r="B911" s="3" t="s">
        <v>1930</v>
      </c>
    </row>
    <row r="912">
      <c r="B912" s="3" t="s">
        <v>1931</v>
      </c>
    </row>
    <row r="913">
      <c r="B913" s="3" t="s">
        <v>1399</v>
      </c>
    </row>
    <row r="914">
      <c r="B914" s="3" t="s">
        <v>1932</v>
      </c>
    </row>
    <row r="917">
      <c r="B917" s="3" t="s">
        <v>1933</v>
      </c>
    </row>
    <row r="919">
      <c r="B919" s="3" t="s">
        <v>1420</v>
      </c>
    </row>
    <row r="920">
      <c r="B920" s="3" t="s">
        <v>1934</v>
      </c>
    </row>
    <row r="921">
      <c r="B921" s="3" t="s">
        <v>1935</v>
      </c>
    </row>
    <row r="922">
      <c r="B922" s="3" t="s">
        <v>1936</v>
      </c>
    </row>
    <row r="923">
      <c r="B923" s="3" t="s">
        <v>1937</v>
      </c>
    </row>
    <row r="924">
      <c r="B924" s="3" t="s">
        <v>1936</v>
      </c>
    </row>
    <row r="925">
      <c r="B925" s="3" t="s">
        <v>1938</v>
      </c>
    </row>
    <row r="926">
      <c r="B926" s="3" t="s">
        <v>1939</v>
      </c>
    </row>
    <row r="927">
      <c r="B927" s="3" t="s">
        <v>1940</v>
      </c>
    </row>
    <row r="928">
      <c r="B928" s="3" t="s">
        <v>1399</v>
      </c>
    </row>
    <row r="929">
      <c r="B929" s="3" t="s">
        <v>1941</v>
      </c>
    </row>
    <row r="930">
      <c r="B930" s="3" t="s">
        <v>1942</v>
      </c>
    </row>
    <row r="931">
      <c r="B931" s="3" t="s">
        <v>1943</v>
      </c>
    </row>
    <row r="932">
      <c r="B932" s="3" t="s">
        <v>1944</v>
      </c>
    </row>
    <row r="933">
      <c r="B933" s="3" t="s">
        <v>1399</v>
      </c>
    </row>
    <row r="934">
      <c r="B934" s="3" t="s">
        <v>1945</v>
      </c>
    </row>
    <row r="935">
      <c r="B935" s="3" t="s">
        <v>1946</v>
      </c>
    </row>
    <row r="936">
      <c r="B936" s="3" t="s">
        <v>1399</v>
      </c>
    </row>
    <row r="937">
      <c r="B937" s="3" t="s">
        <v>1947</v>
      </c>
    </row>
    <row r="938">
      <c r="B938" s="3" t="s">
        <v>1948</v>
      </c>
    </row>
    <row r="939">
      <c r="B939" s="3" t="s">
        <v>1949</v>
      </c>
    </row>
    <row r="940">
      <c r="B940" s="3" t="s">
        <v>1950</v>
      </c>
    </row>
    <row r="941">
      <c r="B941" s="3" t="s">
        <v>1399</v>
      </c>
    </row>
    <row r="942">
      <c r="B942" s="3" t="s">
        <v>1951</v>
      </c>
    </row>
    <row r="943">
      <c r="B943" s="3" t="s">
        <v>1952</v>
      </c>
    </row>
    <row r="944">
      <c r="B944" s="3" t="s">
        <v>1953</v>
      </c>
    </row>
    <row r="945">
      <c r="B945" s="3" t="s">
        <v>1399</v>
      </c>
    </row>
    <row r="946">
      <c r="B946" s="3" t="s">
        <v>1954</v>
      </c>
    </row>
    <row r="947">
      <c r="B947" s="3" t="s">
        <v>1955</v>
      </c>
    </row>
    <row r="948">
      <c r="B948" s="3" t="s">
        <v>1956</v>
      </c>
    </row>
    <row r="949">
      <c r="B949" s="3" t="s">
        <v>1399</v>
      </c>
    </row>
    <row r="950">
      <c r="B950" s="3" t="s">
        <v>1957</v>
      </c>
    </row>
    <row r="951">
      <c r="B951" s="3" t="s">
        <v>1958</v>
      </c>
    </row>
    <row r="952">
      <c r="B952" s="3" t="s">
        <v>1959</v>
      </c>
    </row>
    <row r="953">
      <c r="B953" s="3" t="s">
        <v>1399</v>
      </c>
    </row>
    <row r="954">
      <c r="B954" s="3" t="s">
        <v>1960</v>
      </c>
    </row>
    <row r="955">
      <c r="B955" s="3" t="s">
        <v>1948</v>
      </c>
    </row>
    <row r="956">
      <c r="B956" s="3" t="s">
        <v>1961</v>
      </c>
    </row>
    <row r="957">
      <c r="B957" s="3" t="s">
        <v>1962</v>
      </c>
    </row>
    <row r="958">
      <c r="B958" s="3" t="s">
        <v>1399</v>
      </c>
    </row>
    <row r="959">
      <c r="B959" s="3" t="s">
        <v>1963</v>
      </c>
    </row>
    <row r="960">
      <c r="B960" s="3" t="s">
        <v>1964</v>
      </c>
    </row>
    <row r="961">
      <c r="B961" s="3" t="s">
        <v>1965</v>
      </c>
    </row>
    <row r="962">
      <c r="B962" s="3" t="s">
        <v>1399</v>
      </c>
    </row>
    <row r="963">
      <c r="B963" s="3" t="s">
        <v>1966</v>
      </c>
    </row>
    <row r="964">
      <c r="B964" s="3" t="s">
        <v>1967</v>
      </c>
    </row>
    <row r="965">
      <c r="B965" s="3" t="s">
        <v>1968</v>
      </c>
    </row>
    <row r="966">
      <c r="B966" s="3" t="s">
        <v>1969</v>
      </c>
    </row>
    <row r="967">
      <c r="B967" s="3" t="s">
        <v>1399</v>
      </c>
    </row>
    <row r="968">
      <c r="B968" s="3" t="s">
        <v>1970</v>
      </c>
    </row>
    <row r="969">
      <c r="B969" s="3" t="s">
        <v>1971</v>
      </c>
    </row>
    <row r="970">
      <c r="B970" s="3" t="s">
        <v>1399</v>
      </c>
    </row>
    <row r="971">
      <c r="B971" s="3" t="s">
        <v>1972</v>
      </c>
    </row>
    <row r="972">
      <c r="B972" s="3" t="s">
        <v>1973</v>
      </c>
    </row>
    <row r="973">
      <c r="B973" s="3" t="s">
        <v>1399</v>
      </c>
    </row>
    <row r="974">
      <c r="B974" s="3" t="s">
        <v>1974</v>
      </c>
    </row>
    <row r="975">
      <c r="B975" s="3" t="s">
        <v>1975</v>
      </c>
    </row>
    <row r="976">
      <c r="B976" s="3" t="s">
        <v>1976</v>
      </c>
    </row>
    <row r="977">
      <c r="B977" s="3" t="s">
        <v>1399</v>
      </c>
    </row>
    <row r="978">
      <c r="B978" s="3" t="s">
        <v>1977</v>
      </c>
    </row>
    <row r="979">
      <c r="B979" s="3" t="s">
        <v>1978</v>
      </c>
    </row>
    <row r="980">
      <c r="B980" s="3" t="s">
        <v>1979</v>
      </c>
    </row>
    <row r="981">
      <c r="B981" s="3" t="s">
        <v>1980</v>
      </c>
    </row>
    <row r="982">
      <c r="B982" s="3" t="s">
        <v>1399</v>
      </c>
    </row>
    <row r="983">
      <c r="B983" s="3" t="s">
        <v>1981</v>
      </c>
    </row>
    <row r="984">
      <c r="B984" s="3" t="s">
        <v>1982</v>
      </c>
    </row>
    <row r="985">
      <c r="B985" s="3" t="s">
        <v>1399</v>
      </c>
    </row>
    <row r="986">
      <c r="B986" s="3" t="s">
        <v>1983</v>
      </c>
    </row>
    <row r="987">
      <c r="B987" s="3" t="s">
        <v>1984</v>
      </c>
    </row>
    <row r="988">
      <c r="B988" s="3" t="s">
        <v>1985</v>
      </c>
    </row>
    <row r="989">
      <c r="B989" s="3" t="s">
        <v>1986</v>
      </c>
    </row>
    <row r="990">
      <c r="B990" s="3" t="s">
        <v>1399</v>
      </c>
    </row>
    <row r="991">
      <c r="B991" s="3" t="s">
        <v>1987</v>
      </c>
    </row>
    <row r="992">
      <c r="B992" s="3" t="s">
        <v>1988</v>
      </c>
    </row>
    <row r="993">
      <c r="B993" s="3" t="s">
        <v>1399</v>
      </c>
    </row>
    <row r="994">
      <c r="B994" s="3" t="s">
        <v>1989</v>
      </c>
    </row>
    <row r="995">
      <c r="B995" s="3" t="s">
        <v>1990</v>
      </c>
    </row>
    <row r="996">
      <c r="B996" s="3" t="s">
        <v>1399</v>
      </c>
    </row>
    <row r="997">
      <c r="B997" s="3" t="s">
        <v>1991</v>
      </c>
    </row>
    <row r="998">
      <c r="B998" s="3" t="s">
        <v>1992</v>
      </c>
    </row>
    <row r="999">
      <c r="B999" s="3" t="s">
        <v>1993</v>
      </c>
    </row>
    <row r="1000">
      <c r="B1000" s="3" t="s">
        <v>1994</v>
      </c>
    </row>
    <row r="1001">
      <c r="B1001" s="3" t="s">
        <v>1399</v>
      </c>
    </row>
    <row r="1002">
      <c r="B1002" s="3" t="s">
        <v>1995</v>
      </c>
    </row>
    <row r="1003">
      <c r="B1003" s="3" t="s">
        <v>1996</v>
      </c>
    </row>
    <row r="1004">
      <c r="B1004" s="3" t="s">
        <v>1997</v>
      </c>
    </row>
    <row r="1005">
      <c r="B1005" s="3" t="s">
        <v>1998</v>
      </c>
    </row>
    <row r="1006">
      <c r="B1006" s="3" t="s">
        <v>1399</v>
      </c>
    </row>
    <row r="1007">
      <c r="B1007" s="3" t="s">
        <v>1999</v>
      </c>
    </row>
    <row r="1008">
      <c r="B1008" s="3" t="s">
        <v>2000</v>
      </c>
    </row>
    <row r="1009">
      <c r="B1009" s="3" t="s">
        <v>1399</v>
      </c>
    </row>
    <row r="1010">
      <c r="B1010" s="3" t="s">
        <v>2001</v>
      </c>
    </row>
    <row r="1011">
      <c r="B1011" s="3" t="s">
        <v>2002</v>
      </c>
    </row>
    <row r="1012">
      <c r="B1012" s="3" t="s">
        <v>2003</v>
      </c>
    </row>
    <row r="1013">
      <c r="B1013" s="3" t="s">
        <v>1399</v>
      </c>
    </row>
    <row r="1014">
      <c r="B1014" s="3" t="s">
        <v>2004</v>
      </c>
    </row>
    <row r="1015">
      <c r="B1015" s="3" t="s">
        <v>2005</v>
      </c>
    </row>
    <row r="1016">
      <c r="B1016" s="3" t="s">
        <v>2006</v>
      </c>
    </row>
    <row r="1017">
      <c r="B1017" s="3" t="s">
        <v>1399</v>
      </c>
    </row>
    <row r="1018">
      <c r="B1018" s="3" t="s">
        <v>2007</v>
      </c>
    </row>
    <row r="1019">
      <c r="B1019" s="3" t="s">
        <v>2008</v>
      </c>
    </row>
    <row r="1020">
      <c r="B1020" s="3" t="s">
        <v>2009</v>
      </c>
    </row>
    <row r="1021">
      <c r="B1021" s="3" t="s">
        <v>1399</v>
      </c>
    </row>
    <row r="1022">
      <c r="B1022" s="3" t="s">
        <v>2010</v>
      </c>
    </row>
    <row r="1023">
      <c r="B1023" s="3" t="s">
        <v>2011</v>
      </c>
    </row>
    <row r="1024">
      <c r="B1024" s="3" t="s">
        <v>1399</v>
      </c>
    </row>
    <row r="1025">
      <c r="B1025" s="3" t="s">
        <v>2012</v>
      </c>
    </row>
    <row r="1026">
      <c r="B1026" s="3" t="s">
        <v>2013</v>
      </c>
    </row>
    <row r="1027">
      <c r="B1027" s="3" t="s">
        <v>2014</v>
      </c>
    </row>
    <row r="1028">
      <c r="B1028" s="3" t="s">
        <v>2015</v>
      </c>
    </row>
    <row r="1029">
      <c r="B1029" s="3" t="s">
        <v>1399</v>
      </c>
    </row>
    <row r="1030">
      <c r="B1030" s="3" t="s">
        <v>2016</v>
      </c>
    </row>
    <row r="1031">
      <c r="B1031" s="3" t="s">
        <v>2017</v>
      </c>
    </row>
    <row r="1032">
      <c r="B1032" s="3" t="s">
        <v>1399</v>
      </c>
    </row>
    <row r="1033">
      <c r="B1033" s="3" t="s">
        <v>2018</v>
      </c>
    </row>
    <row r="1034">
      <c r="B1034" s="3" t="s">
        <v>2019</v>
      </c>
    </row>
    <row r="1035">
      <c r="B1035" s="3" t="s">
        <v>2020</v>
      </c>
    </row>
    <row r="1036">
      <c r="B1036" s="3" t="s">
        <v>1399</v>
      </c>
    </row>
    <row r="1037">
      <c r="B1037" s="3" t="s">
        <v>2021</v>
      </c>
    </row>
    <row r="1038">
      <c r="B1038" s="3" t="s">
        <v>2022</v>
      </c>
    </row>
    <row r="1039">
      <c r="B1039" s="3" t="s">
        <v>2023</v>
      </c>
    </row>
    <row r="1040">
      <c r="B1040" s="3" t="s">
        <v>2024</v>
      </c>
    </row>
    <row r="1041">
      <c r="B1041" s="3" t="s">
        <v>2025</v>
      </c>
    </row>
    <row r="1042">
      <c r="B1042" s="3" t="s">
        <v>2026</v>
      </c>
    </row>
    <row r="1043">
      <c r="B1043" s="3" t="s">
        <v>1399</v>
      </c>
    </row>
    <row r="1044">
      <c r="B1044" s="3" t="s">
        <v>2027</v>
      </c>
    </row>
    <row r="1045">
      <c r="B1045" s="3" t="s">
        <v>2028</v>
      </c>
    </row>
    <row r="1046">
      <c r="B1046" s="3" t="s">
        <v>1399</v>
      </c>
    </row>
    <row r="1047">
      <c r="B1047" s="3" t="s">
        <v>2029</v>
      </c>
    </row>
    <row r="1048">
      <c r="B1048" s="3" t="s">
        <v>2030</v>
      </c>
    </row>
    <row r="1049">
      <c r="B1049" s="3" t="s">
        <v>2031</v>
      </c>
    </row>
    <row r="1050">
      <c r="B1050" s="3" t="s">
        <v>2032</v>
      </c>
    </row>
    <row r="1051">
      <c r="B1051" s="3" t="s">
        <v>2033</v>
      </c>
    </row>
    <row r="1052">
      <c r="B1052" s="3" t="s">
        <v>1399</v>
      </c>
    </row>
    <row r="1053">
      <c r="B1053" s="3" t="s">
        <v>2034</v>
      </c>
    </row>
    <row r="1056">
      <c r="B1056" s="3" t="s">
        <v>2035</v>
      </c>
    </row>
    <row r="1058">
      <c r="B1058" s="3" t="s">
        <v>1420</v>
      </c>
    </row>
    <row r="1059">
      <c r="B1059" s="3" t="s">
        <v>2036</v>
      </c>
    </row>
    <row r="1060">
      <c r="B1060" s="3" t="s">
        <v>2037</v>
      </c>
    </row>
    <row r="1061">
      <c r="B1061" s="3" t="s">
        <v>2038</v>
      </c>
    </row>
    <row r="1062">
      <c r="B1062" s="3" t="s">
        <v>1399</v>
      </c>
    </row>
    <row r="1063">
      <c r="B1063" s="3" t="s">
        <v>2039</v>
      </c>
    </row>
    <row r="1064">
      <c r="B1064" s="3" t="s">
        <v>2040</v>
      </c>
    </row>
    <row r="1065">
      <c r="B1065" s="3" t="s">
        <v>2041</v>
      </c>
    </row>
    <row r="1066">
      <c r="B1066" s="3" t="s">
        <v>1399</v>
      </c>
    </row>
    <row r="1067">
      <c r="B1067" s="3" t="s">
        <v>2042</v>
      </c>
    </row>
    <row r="1068">
      <c r="B1068" s="3" t="s">
        <v>2043</v>
      </c>
    </row>
    <row r="1069">
      <c r="B1069" s="3" t="s">
        <v>1399</v>
      </c>
    </row>
    <row r="1070">
      <c r="B1070" s="3" t="s">
        <v>2044</v>
      </c>
    </row>
    <row r="1071">
      <c r="B1071" s="3" t="s">
        <v>2045</v>
      </c>
    </row>
    <row r="1072">
      <c r="B1072" s="3" t="s">
        <v>2046</v>
      </c>
    </row>
    <row r="1073">
      <c r="B1073" s="3" t="s">
        <v>1399</v>
      </c>
    </row>
    <row r="1074">
      <c r="B1074" s="3" t="s">
        <v>2047</v>
      </c>
    </row>
    <row r="1075">
      <c r="B1075" s="3" t="s">
        <v>2048</v>
      </c>
    </row>
    <row r="1076">
      <c r="B1076" s="3" t="s">
        <v>2049</v>
      </c>
    </row>
    <row r="1077">
      <c r="B1077" s="3" t="s">
        <v>2050</v>
      </c>
    </row>
    <row r="1078">
      <c r="B1078" s="3" t="s">
        <v>1399</v>
      </c>
    </row>
    <row r="1079">
      <c r="B1079" s="3" t="s">
        <v>2051</v>
      </c>
    </row>
    <row r="1080">
      <c r="B1080" s="3" t="s">
        <v>2052</v>
      </c>
    </row>
    <row r="1081">
      <c r="B1081" s="3" t="s">
        <v>1399</v>
      </c>
    </row>
    <row r="1082">
      <c r="B1082" s="3" t="s">
        <v>2053</v>
      </c>
    </row>
    <row r="1083">
      <c r="B1083" s="3" t="s">
        <v>2054</v>
      </c>
    </row>
    <row r="1084">
      <c r="B1084" s="3" t="s">
        <v>2055</v>
      </c>
    </row>
    <row r="1085">
      <c r="B1085" s="3" t="s">
        <v>1399</v>
      </c>
    </row>
    <row r="1086">
      <c r="B1086" s="3" t="s">
        <v>2056</v>
      </c>
    </row>
    <row r="1087">
      <c r="B1087" s="3" t="s">
        <v>2057</v>
      </c>
    </row>
    <row r="1088">
      <c r="B1088" s="3" t="s">
        <v>1399</v>
      </c>
    </row>
    <row r="1089">
      <c r="B1089" s="3" t="s">
        <v>2058</v>
      </c>
    </row>
    <row r="1090">
      <c r="B1090" s="3" t="s">
        <v>2059</v>
      </c>
    </row>
    <row r="1091">
      <c r="B1091" s="3" t="s">
        <v>1399</v>
      </c>
    </row>
    <row r="1092">
      <c r="B1092" s="3" t="s">
        <v>2060</v>
      </c>
    </row>
    <row r="1093">
      <c r="B1093" s="3" t="s">
        <v>2061</v>
      </c>
    </row>
    <row r="1096">
      <c r="B1096" s="3" t="s">
        <v>2062</v>
      </c>
    </row>
    <row r="1098">
      <c r="B1098" s="3" t="s">
        <v>1420</v>
      </c>
    </row>
    <row r="1099">
      <c r="B1099" s="3" t="s">
        <v>2049</v>
      </c>
    </row>
    <row r="1100">
      <c r="B1100" s="3" t="s">
        <v>2063</v>
      </c>
    </row>
    <row r="1101">
      <c r="B1101" s="3" t="s">
        <v>1399</v>
      </c>
    </row>
    <row r="1102">
      <c r="B1102" s="3" t="s">
        <v>2064</v>
      </c>
    </row>
    <row r="1103">
      <c r="B1103" s="3" t="s">
        <v>2065</v>
      </c>
    </row>
    <row r="1104">
      <c r="B1104" s="3" t="s">
        <v>1399</v>
      </c>
    </row>
    <row r="1105">
      <c r="B1105" s="3" t="s">
        <v>2066</v>
      </c>
    </row>
    <row r="1106">
      <c r="B1106" s="3" t="s">
        <v>2067</v>
      </c>
    </row>
    <row r="1107">
      <c r="B1107" s="3" t="s">
        <v>1399</v>
      </c>
    </row>
    <row r="1108">
      <c r="B1108" s="3" t="s">
        <v>2068</v>
      </c>
    </row>
    <row r="1109">
      <c r="B1109" s="3" t="s">
        <v>2069</v>
      </c>
    </row>
    <row r="1110">
      <c r="B1110" s="3" t="s">
        <v>2070</v>
      </c>
    </row>
    <row r="1111">
      <c r="B1111" s="3" t="s">
        <v>1462</v>
      </c>
    </row>
    <row r="1112">
      <c r="B1112" s="3" t="s">
        <v>1399</v>
      </c>
    </row>
    <row r="1113">
      <c r="B1113" s="3" t="s">
        <v>2071</v>
      </c>
    </row>
    <row r="1114">
      <c r="B1114" s="3" t="s">
        <v>2052</v>
      </c>
    </row>
    <row r="1115">
      <c r="B1115" s="3" t="s">
        <v>1399</v>
      </c>
    </row>
    <row r="1116">
      <c r="B1116" s="3" t="s">
        <v>2072</v>
      </c>
    </row>
    <row r="1117">
      <c r="B1117" s="3" t="s">
        <v>2073</v>
      </c>
    </row>
    <row r="1118">
      <c r="B1118" s="3" t="s">
        <v>1399</v>
      </c>
    </row>
    <row r="1119">
      <c r="B1119" s="3" t="s">
        <v>2074</v>
      </c>
    </row>
    <row r="1120">
      <c r="B1120" s="3" t="s">
        <v>2075</v>
      </c>
    </row>
    <row r="1121">
      <c r="B1121" s="3" t="s">
        <v>1399</v>
      </c>
    </row>
    <row r="1122">
      <c r="B1122" s="3" t="s">
        <v>2076</v>
      </c>
    </row>
    <row r="1123">
      <c r="B1123" s="3" t="s">
        <v>2054</v>
      </c>
    </row>
    <row r="1124">
      <c r="B1124" s="3" t="s">
        <v>2077</v>
      </c>
    </row>
    <row r="1125">
      <c r="B1125" s="3" t="s">
        <v>1399</v>
      </c>
    </row>
    <row r="1126">
      <c r="B1126" s="3" t="s">
        <v>2078</v>
      </c>
    </row>
    <row r="1127">
      <c r="B1127" s="3" t="s">
        <v>2079</v>
      </c>
    </row>
    <row r="1128">
      <c r="B1128" s="3" t="s">
        <v>1399</v>
      </c>
    </row>
    <row r="1129">
      <c r="B1129" s="3" t="s">
        <v>2080</v>
      </c>
    </row>
    <row r="1130">
      <c r="B1130" s="3" t="s">
        <v>2081</v>
      </c>
    </row>
    <row r="1133">
      <c r="B1133" s="3" t="s">
        <v>2082</v>
      </c>
    </row>
    <row r="1135">
      <c r="B1135" s="3" t="s">
        <v>1420</v>
      </c>
    </row>
    <row r="1136">
      <c r="B1136" s="3" t="s">
        <v>2083</v>
      </c>
    </row>
    <row r="1137">
      <c r="B1137" s="3" t="s">
        <v>2084</v>
      </c>
    </row>
    <row r="1138">
      <c r="B1138" s="3" t="s">
        <v>1399</v>
      </c>
    </row>
    <row r="1139">
      <c r="B1139" s="3" t="s">
        <v>2085</v>
      </c>
    </row>
    <row r="1142">
      <c r="B1142" s="3" t="s">
        <v>2086</v>
      </c>
    </row>
    <row r="1144">
      <c r="B1144" s="3" t="s">
        <v>1420</v>
      </c>
    </row>
    <row r="1145">
      <c r="B1145" s="3" t="s">
        <v>2087</v>
      </c>
    </row>
    <row r="1146">
      <c r="B1146" s="3" t="s">
        <v>2088</v>
      </c>
    </row>
    <row r="1147">
      <c r="B1147" s="3" t="s">
        <v>1399</v>
      </c>
    </row>
    <row r="1148">
      <c r="B1148" s="3" t="s">
        <v>2089</v>
      </c>
    </row>
    <row r="1149">
      <c r="B1149" s="3" t="s">
        <v>2090</v>
      </c>
    </row>
    <row r="1150">
      <c r="B1150" s="3" t="s">
        <v>2091</v>
      </c>
    </row>
    <row r="1151">
      <c r="B1151" s="3" t="s">
        <v>2092</v>
      </c>
    </row>
    <row r="1152">
      <c r="B1152" s="3" t="s">
        <v>2093</v>
      </c>
    </row>
    <row r="1153">
      <c r="B1153" s="3" t="s">
        <v>1399</v>
      </c>
    </row>
    <row r="1154">
      <c r="B1154" s="3" t="s">
        <v>2094</v>
      </c>
    </row>
    <row r="1155">
      <c r="B1155" s="3" t="s">
        <v>2095</v>
      </c>
    </row>
    <row r="1156">
      <c r="B1156" s="3" t="s">
        <v>2096</v>
      </c>
    </row>
    <row r="1157">
      <c r="B1157" s="3" t="s">
        <v>2097</v>
      </c>
    </row>
    <row r="1158">
      <c r="B1158" s="3" t="s">
        <v>1399</v>
      </c>
    </row>
    <row r="1159">
      <c r="B1159" s="3" t="s">
        <v>2098</v>
      </c>
    </row>
    <row r="1160">
      <c r="B1160" s="3" t="s">
        <v>2099</v>
      </c>
    </row>
    <row r="1161">
      <c r="B1161" s="3" t="s">
        <v>1399</v>
      </c>
    </row>
    <row r="1162">
      <c r="B1162" s="3" t="s">
        <v>2100</v>
      </c>
    </row>
    <row r="1163">
      <c r="B1163" s="3" t="s">
        <v>2101</v>
      </c>
    </row>
    <row r="1164">
      <c r="B1164" s="3" t="s">
        <v>1399</v>
      </c>
    </row>
    <row r="1165">
      <c r="B1165" s="3" t="s">
        <v>2102</v>
      </c>
    </row>
    <row r="1166">
      <c r="B1166" s="3" t="s">
        <v>2103</v>
      </c>
    </row>
    <row r="1167">
      <c r="B1167" s="3" t="s">
        <v>1399</v>
      </c>
    </row>
    <row r="1168">
      <c r="B1168" s="3" t="s">
        <v>2104</v>
      </c>
    </row>
    <row r="1169">
      <c r="B1169" s="3" t="s">
        <v>2105</v>
      </c>
    </row>
    <row r="1170">
      <c r="B1170" s="3" t="s">
        <v>1399</v>
      </c>
    </row>
    <row r="1171">
      <c r="B1171" s="3" t="s">
        <v>2106</v>
      </c>
    </row>
    <row r="1172">
      <c r="B1172" s="3" t="s">
        <v>2107</v>
      </c>
    </row>
    <row r="1173">
      <c r="B1173" s="3" t="s">
        <v>2108</v>
      </c>
    </row>
    <row r="1174">
      <c r="B1174" s="3" t="s">
        <v>2109</v>
      </c>
    </row>
    <row r="1175">
      <c r="B1175" s="3" t="s">
        <v>1399</v>
      </c>
    </row>
    <row r="1176">
      <c r="B1176" s="3" t="s">
        <v>2110</v>
      </c>
    </row>
    <row r="1177">
      <c r="B1177" s="3" t="s">
        <v>2111</v>
      </c>
    </row>
    <row r="1178">
      <c r="B1178" s="3" t="s">
        <v>2112</v>
      </c>
    </row>
    <row r="1179">
      <c r="B1179" s="3" t="s">
        <v>2113</v>
      </c>
    </row>
    <row r="1180">
      <c r="B1180" s="3" t="s">
        <v>1399</v>
      </c>
    </row>
    <row r="1181">
      <c r="B1181" s="3" t="s">
        <v>2114</v>
      </c>
    </row>
    <row r="1182">
      <c r="B1182" s="3" t="s">
        <v>2115</v>
      </c>
    </row>
    <row r="1183">
      <c r="B1183" s="3" t="s">
        <v>1399</v>
      </c>
    </row>
    <row r="1184">
      <c r="B1184" s="3" t="s">
        <v>2116</v>
      </c>
    </row>
    <row r="1185">
      <c r="B1185" s="3" t="s">
        <v>2117</v>
      </c>
    </row>
    <row r="1186">
      <c r="B1186" s="3" t="s">
        <v>1399</v>
      </c>
    </row>
    <row r="1187">
      <c r="B1187" s="3" t="s">
        <v>2118</v>
      </c>
    </row>
    <row r="1190">
      <c r="B1190" s="3" t="s">
        <v>2119</v>
      </c>
    </row>
    <row r="1192">
      <c r="B1192" s="3" t="s">
        <v>1420</v>
      </c>
    </row>
    <row r="1193">
      <c r="B1193" s="3" t="s">
        <v>2120</v>
      </c>
    </row>
    <row r="1194">
      <c r="B1194" s="3" t="s">
        <v>1399</v>
      </c>
    </row>
    <row r="1195">
      <c r="B1195" s="3" t="s">
        <v>2121</v>
      </c>
    </row>
    <row r="1196">
      <c r="B1196" s="3" t="s">
        <v>2043</v>
      </c>
    </row>
    <row r="1197">
      <c r="B1197" s="3" t="s">
        <v>1399</v>
      </c>
    </row>
    <row r="1198">
      <c r="B1198" s="3" t="s">
        <v>2122</v>
      </c>
    </row>
    <row r="1201">
      <c r="B1201" s="3" t="s">
        <v>2123</v>
      </c>
    </row>
    <row r="1203">
      <c r="B1203" s="3" t="s">
        <v>1420</v>
      </c>
    </row>
    <row r="1204">
      <c r="B1204" s="3" t="s">
        <v>2124</v>
      </c>
    </row>
    <row r="1205">
      <c r="B1205" s="3" t="s">
        <v>1399</v>
      </c>
    </row>
    <row r="1206">
      <c r="B1206" s="3" t="s">
        <v>2125</v>
      </c>
    </row>
    <row r="1207">
      <c r="B1207" s="3" t="s">
        <v>2126</v>
      </c>
    </row>
    <row r="1208">
      <c r="B1208" s="3" t="s">
        <v>2127</v>
      </c>
    </row>
    <row r="1209">
      <c r="B1209" s="3" t="s">
        <v>1399</v>
      </c>
    </row>
    <row r="1210">
      <c r="B1210" s="3" t="s">
        <v>2128</v>
      </c>
    </row>
    <row r="1211">
      <c r="B1211" s="3" t="s">
        <v>2129</v>
      </c>
    </row>
    <row r="1212">
      <c r="B1212" s="3" t="s">
        <v>1399</v>
      </c>
    </row>
    <row r="1213">
      <c r="B1213" s="3" t="s">
        <v>2130</v>
      </c>
    </row>
    <row r="1214">
      <c r="B1214" s="3" t="s">
        <v>2131</v>
      </c>
    </row>
    <row r="1215">
      <c r="B1215" s="3" t="s">
        <v>1399</v>
      </c>
    </row>
    <row r="1216">
      <c r="B1216" s="3" t="s">
        <v>2132</v>
      </c>
    </row>
    <row r="1217">
      <c r="B1217" s="3" t="s">
        <v>2133</v>
      </c>
    </row>
    <row r="1218">
      <c r="B1218" s="3" t="s">
        <v>1399</v>
      </c>
    </row>
    <row r="1219">
      <c r="B1219" s="3" t="s">
        <v>2134</v>
      </c>
    </row>
    <row r="1222">
      <c r="B1222" s="3" t="s">
        <v>2135</v>
      </c>
    </row>
    <row r="1224">
      <c r="B1224" s="3" t="s">
        <v>1420</v>
      </c>
    </row>
    <row r="1225">
      <c r="B1225" s="3" t="s">
        <v>2136</v>
      </c>
    </row>
    <row r="1226">
      <c r="B1226" s="3" t="s">
        <v>2137</v>
      </c>
    </row>
    <row r="1227">
      <c r="B1227" s="3" t="s">
        <v>1399</v>
      </c>
    </row>
    <row r="1228">
      <c r="B1228" s="3" t="s">
        <v>1396</v>
      </c>
    </row>
    <row r="1229">
      <c r="B1229" s="3" t="s">
        <v>2138</v>
      </c>
    </row>
    <row r="1230">
      <c r="B1230" s="3" t="s">
        <v>1399</v>
      </c>
    </row>
    <row r="1231">
      <c r="B1231" s="3" t="s">
        <v>2139</v>
      </c>
    </row>
    <row r="1232">
      <c r="B1232" s="3" t="s">
        <v>2140</v>
      </c>
    </row>
    <row r="1233">
      <c r="B1233" s="3" t="s">
        <v>1399</v>
      </c>
    </row>
    <row r="1234">
      <c r="B1234" s="3" t="s">
        <v>2141</v>
      </c>
    </row>
    <row r="1235">
      <c r="B1235" s="3" t="s">
        <v>2142</v>
      </c>
    </row>
    <row r="1236">
      <c r="B1236" s="3" t="s">
        <v>1399</v>
      </c>
    </row>
    <row r="1237">
      <c r="B1237" s="3" t="s">
        <v>2143</v>
      </c>
    </row>
    <row r="1238">
      <c r="B1238" s="3" t="s">
        <v>2144</v>
      </c>
    </row>
    <row r="1239">
      <c r="B1239" s="3" t="s">
        <v>1399</v>
      </c>
    </row>
    <row r="1240">
      <c r="B1240" s="3" t="s">
        <v>2145</v>
      </c>
    </row>
    <row r="1241">
      <c r="B1241" s="3" t="s">
        <v>2146</v>
      </c>
    </row>
    <row r="1242">
      <c r="B1242" s="3" t="s">
        <v>1399</v>
      </c>
    </row>
    <row r="1243">
      <c r="B1243" s="3" t="s">
        <v>2147</v>
      </c>
    </row>
    <row r="1244">
      <c r="B1244" s="3" t="s">
        <v>2148</v>
      </c>
    </row>
    <row r="1245">
      <c r="B1245" s="3" t="s">
        <v>1399</v>
      </c>
    </row>
    <row r="1246">
      <c r="B1246" s="3" t="s">
        <v>2149</v>
      </c>
    </row>
    <row r="1249">
      <c r="B1249" s="3" t="s">
        <v>2150</v>
      </c>
    </row>
    <row r="1251">
      <c r="B1251" s="3" t="s">
        <v>1420</v>
      </c>
    </row>
    <row r="1252">
      <c r="B1252" s="3" t="s">
        <v>2151</v>
      </c>
    </row>
    <row r="1253">
      <c r="B1253" s="3" t="s">
        <v>1399</v>
      </c>
    </row>
    <row r="1254">
      <c r="B1254" s="3" t="s">
        <v>2152</v>
      </c>
    </row>
    <row r="1255">
      <c r="B1255" s="3" t="s">
        <v>2153</v>
      </c>
    </row>
    <row r="1256">
      <c r="B1256" s="3" t="s">
        <v>2154</v>
      </c>
    </row>
    <row r="1257">
      <c r="B1257" s="3" t="s">
        <v>1399</v>
      </c>
    </row>
    <row r="1258">
      <c r="B1258" s="3" t="s">
        <v>2155</v>
      </c>
    </row>
    <row r="1259">
      <c r="B1259" s="3" t="s">
        <v>2156</v>
      </c>
    </row>
    <row r="1260">
      <c r="B1260" s="3" t="s">
        <v>2157</v>
      </c>
    </row>
    <row r="1261">
      <c r="B1261" s="3" t="s">
        <v>1399</v>
      </c>
    </row>
    <row r="1262">
      <c r="B1262" s="3" t="s">
        <v>2158</v>
      </c>
    </row>
    <row r="1263">
      <c r="B1263" s="3" t="s">
        <v>2159</v>
      </c>
    </row>
    <row r="1264">
      <c r="B1264" s="3" t="s">
        <v>1399</v>
      </c>
    </row>
    <row r="1265">
      <c r="B1265" s="3" t="s">
        <v>2160</v>
      </c>
    </row>
    <row r="1268">
      <c r="B1268" s="3" t="s">
        <v>2161</v>
      </c>
    </row>
    <row r="1270">
      <c r="B1270" s="3" t="s">
        <v>1420</v>
      </c>
    </row>
    <row r="1271">
      <c r="B1271" s="3" t="s">
        <v>2162</v>
      </c>
    </row>
    <row r="1272">
      <c r="B1272" s="3" t="s">
        <v>1399</v>
      </c>
    </row>
    <row r="1273">
      <c r="B1273" s="3" t="s">
        <v>2163</v>
      </c>
    </row>
    <row r="1274">
      <c r="B1274" s="3" t="s">
        <v>2164</v>
      </c>
    </row>
    <row r="1275">
      <c r="B1275" s="3" t="s">
        <v>2144</v>
      </c>
    </row>
    <row r="1276">
      <c r="B1276" s="3" t="s">
        <v>1399</v>
      </c>
    </row>
    <row r="1277">
      <c r="B1277" s="3" t="s">
        <v>2165</v>
      </c>
    </row>
    <row r="1280">
      <c r="B1280" s="3" t="s">
        <v>2166</v>
      </c>
    </row>
    <row r="1282">
      <c r="B1282" s="3" t="s">
        <v>1420</v>
      </c>
    </row>
    <row r="1285">
      <c r="B1285" s="3" t="s">
        <v>2167</v>
      </c>
    </row>
    <row r="1287">
      <c r="B1287" s="3" t="s">
        <v>1420</v>
      </c>
    </row>
    <row r="1288">
      <c r="B1288" s="3" t="s">
        <v>2168</v>
      </c>
    </row>
    <row r="1289">
      <c r="B1289" s="3" t="s">
        <v>1399</v>
      </c>
    </row>
    <row r="1290">
      <c r="B1290" s="3" t="s">
        <v>2169</v>
      </c>
    </row>
    <row r="1291">
      <c r="B1291" s="3" t="s">
        <v>2170</v>
      </c>
    </row>
    <row r="1292">
      <c r="B1292" s="3" t="s">
        <v>1399</v>
      </c>
    </row>
    <row r="1293">
      <c r="B1293" s="3" t="s">
        <v>2171</v>
      </c>
    </row>
    <row r="1294">
      <c r="B1294" s="3" t="s">
        <v>2172</v>
      </c>
    </row>
    <row r="1297">
      <c r="B1297" s="3" t="s">
        <v>2173</v>
      </c>
    </row>
    <row r="1299">
      <c r="B1299" s="3" t="s">
        <v>1420</v>
      </c>
    </row>
    <row r="1300">
      <c r="B1300" s="3" t="s">
        <v>2174</v>
      </c>
    </row>
    <row r="1301">
      <c r="B1301" s="3" t="s">
        <v>1399</v>
      </c>
    </row>
    <row r="1302">
      <c r="B1302" s="3" t="s">
        <v>2175</v>
      </c>
    </row>
    <row r="1305">
      <c r="B1305" s="3" t="s">
        <v>2176</v>
      </c>
    </row>
    <row r="1307">
      <c r="B1307" s="3" t="s">
        <v>1420</v>
      </c>
    </row>
    <row r="1308">
      <c r="B1308" s="3" t="s">
        <v>2177</v>
      </c>
    </row>
    <row r="1309">
      <c r="B1309" s="3" t="s">
        <v>1399</v>
      </c>
    </row>
    <row r="1310">
      <c r="B1310" s="3" t="s">
        <v>2178</v>
      </c>
    </row>
    <row r="1313">
      <c r="B1313" s="3" t="s">
        <v>2179</v>
      </c>
    </row>
    <row r="1315">
      <c r="B1315" s="3" t="s">
        <v>1420</v>
      </c>
    </row>
    <row r="1316">
      <c r="B1316" s="3" t="s">
        <v>2180</v>
      </c>
    </row>
    <row r="1317">
      <c r="B1317" s="3" t="s">
        <v>1399</v>
      </c>
    </row>
    <row r="1318">
      <c r="B1318" s="3" t="s">
        <v>2181</v>
      </c>
    </row>
    <row r="1321">
      <c r="B1321" s="3" t="s">
        <v>2182</v>
      </c>
    </row>
    <row r="1323">
      <c r="B1323" s="3" t="s">
        <v>1420</v>
      </c>
    </row>
    <row r="1324">
      <c r="B1324" s="3" t="s">
        <v>2183</v>
      </c>
    </row>
    <row r="1325">
      <c r="B1325" s="3" t="s">
        <v>1399</v>
      </c>
    </row>
    <row r="1326">
      <c r="B1326" s="3" t="s">
        <v>2184</v>
      </c>
    </row>
    <row r="1327">
      <c r="B1327" s="3" t="s">
        <v>2185</v>
      </c>
    </row>
    <row r="1330">
      <c r="B1330" s="3" t="s">
        <v>2186</v>
      </c>
    </row>
    <row r="1332">
      <c r="B1332" s="3" t="s">
        <v>1420</v>
      </c>
    </row>
    <row r="1333">
      <c r="B1333" s="3" t="s">
        <v>2052</v>
      </c>
    </row>
    <row r="1334">
      <c r="B1334" s="3" t="s">
        <v>1399</v>
      </c>
    </row>
    <row r="1335">
      <c r="B1335" s="3" t="s">
        <v>2187</v>
      </c>
    </row>
    <row r="1336">
      <c r="B1336" s="3" t="s">
        <v>2188</v>
      </c>
    </row>
    <row r="1337">
      <c r="B1337" s="3" t="s">
        <v>2189</v>
      </c>
    </row>
    <row r="1338">
      <c r="B1338" s="3" t="s">
        <v>1399</v>
      </c>
    </row>
    <row r="1339">
      <c r="B1339" s="3" t="s">
        <v>2190</v>
      </c>
    </row>
    <row r="1342">
      <c r="B1342" s="3" t="s">
        <v>2191</v>
      </c>
    </row>
    <row r="1344">
      <c r="B1344" s="3" t="s">
        <v>1420</v>
      </c>
    </row>
    <row r="1347">
      <c r="B1347" s="3" t="s">
        <v>2192</v>
      </c>
    </row>
    <row r="1349">
      <c r="B1349" s="3" t="s">
        <v>1420</v>
      </c>
    </row>
    <row r="1350">
      <c r="B1350" s="3" t="s">
        <v>2193</v>
      </c>
    </row>
    <row r="1351">
      <c r="B1351" s="3" t="s">
        <v>1399</v>
      </c>
    </row>
    <row r="1352">
      <c r="B1352" s="3" t="s">
        <v>2194</v>
      </c>
    </row>
    <row r="1353">
      <c r="B1353" s="3" t="s">
        <v>2195</v>
      </c>
    </row>
    <row r="1354">
      <c r="B1354" s="3" t="s">
        <v>1399</v>
      </c>
    </row>
    <row r="1355">
      <c r="B1355" s="3" t="s">
        <v>2196</v>
      </c>
    </row>
    <row r="1356">
      <c r="B1356" s="3" t="s">
        <v>2197</v>
      </c>
    </row>
    <row r="1357">
      <c r="B1357" s="3" t="s">
        <v>2198</v>
      </c>
    </row>
    <row r="1358">
      <c r="B1358" s="3" t="s">
        <v>1399</v>
      </c>
    </row>
    <row r="1359">
      <c r="B1359" s="3" t="s">
        <v>2187</v>
      </c>
    </row>
    <row r="1360">
      <c r="B1360" s="3" t="s">
        <v>2199</v>
      </c>
    </row>
    <row r="1361">
      <c r="B1361" s="3" t="s">
        <v>2200</v>
      </c>
    </row>
    <row r="1362">
      <c r="B1362" s="3" t="s">
        <v>1399</v>
      </c>
    </row>
    <row r="1363">
      <c r="B1363" s="3" t="s">
        <v>2201</v>
      </c>
    </row>
    <row r="1364">
      <c r="B1364" s="3" t="s">
        <v>2202</v>
      </c>
    </row>
    <row r="1365">
      <c r="B1365" s="3" t="s">
        <v>1399</v>
      </c>
    </row>
    <row r="1366">
      <c r="B1366" s="3" t="s">
        <v>2203</v>
      </c>
    </row>
    <row r="1369">
      <c r="B1369" s="3" t="s">
        <v>2204</v>
      </c>
    </row>
    <row r="1371">
      <c r="B1371" s="3" t="s">
        <v>1420</v>
      </c>
    </row>
    <row r="1372">
      <c r="B1372" s="3" t="s">
        <v>2205</v>
      </c>
    </row>
    <row r="1373">
      <c r="B1373" s="3" t="s">
        <v>1399</v>
      </c>
    </row>
    <row r="1374">
      <c r="B1374" s="3" t="s">
        <v>2206</v>
      </c>
    </row>
    <row r="1377">
      <c r="B1377" s="3" t="s">
        <v>2207</v>
      </c>
    </row>
    <row r="1379">
      <c r="B1379" s="3" t="s">
        <v>1420</v>
      </c>
    </row>
    <row r="1380">
      <c r="B1380" s="3" t="s">
        <v>2208</v>
      </c>
    </row>
    <row r="1381">
      <c r="B1381" s="3" t="s">
        <v>2075</v>
      </c>
    </row>
    <row r="1382">
      <c r="B1382" s="3" t="s">
        <v>1399</v>
      </c>
    </row>
    <row r="1383">
      <c r="B1383" s="3" t="s">
        <v>2209</v>
      </c>
    </row>
    <row r="1384">
      <c r="B1384" s="3" t="s">
        <v>2210</v>
      </c>
    </row>
    <row r="1385">
      <c r="B1385" s="3" t="s">
        <v>1399</v>
      </c>
    </row>
    <row r="1386">
      <c r="B1386" s="3" t="s">
        <v>2211</v>
      </c>
    </row>
    <row r="1387">
      <c r="B1387" s="3" t="s">
        <v>2212</v>
      </c>
    </row>
    <row r="1388">
      <c r="B1388" s="3" t="s">
        <v>2213</v>
      </c>
    </row>
    <row r="1391">
      <c r="B1391" s="3" t="s">
        <v>2214</v>
      </c>
    </row>
    <row r="1393">
      <c r="B1393" s="3" t="s">
        <v>1420</v>
      </c>
    </row>
    <row r="1394">
      <c r="B1394" s="3" t="s">
        <v>2215</v>
      </c>
    </row>
    <row r="1395">
      <c r="B1395" s="3" t="s">
        <v>1399</v>
      </c>
    </row>
    <row r="1396">
      <c r="B1396" s="3" t="s">
        <v>2216</v>
      </c>
    </row>
    <row r="1397">
      <c r="B1397" s="3" t="s">
        <v>2217</v>
      </c>
    </row>
    <row r="1398">
      <c r="B1398" s="3" t="s">
        <v>2218</v>
      </c>
    </row>
    <row r="1399">
      <c r="B1399" s="3" t="s">
        <v>2219</v>
      </c>
    </row>
    <row r="1400">
      <c r="B1400" s="3" t="s">
        <v>1399</v>
      </c>
    </row>
    <row r="1401">
      <c r="B1401" s="3" t="s">
        <v>2220</v>
      </c>
    </row>
    <row r="1402">
      <c r="B1402" s="3" t="s">
        <v>2221</v>
      </c>
    </row>
    <row r="1403">
      <c r="B1403" s="3" t="s">
        <v>2222</v>
      </c>
    </row>
    <row r="1404">
      <c r="B1404" s="3" t="s">
        <v>2222</v>
      </c>
    </row>
    <row r="1405">
      <c r="B1405" s="3" t="s">
        <v>2218</v>
      </c>
    </row>
    <row r="1406">
      <c r="B1406" s="3" t="s">
        <v>2223</v>
      </c>
    </row>
    <row r="1407">
      <c r="B1407" s="3" t="s">
        <v>1399</v>
      </c>
    </row>
    <row r="1408">
      <c r="B1408" s="3" t="s">
        <v>2224</v>
      </c>
    </row>
    <row r="1409">
      <c r="B1409" s="3" t="s">
        <v>2225</v>
      </c>
    </row>
    <row r="1410">
      <c r="B1410" s="3" t="s">
        <v>2226</v>
      </c>
    </row>
    <row r="1411">
      <c r="B1411" s="3" t="s">
        <v>2227</v>
      </c>
    </row>
    <row r="1412">
      <c r="B1412" s="3" t="s">
        <v>2228</v>
      </c>
    </row>
    <row r="1413">
      <c r="B1413" s="3" t="s">
        <v>1399</v>
      </c>
    </row>
    <row r="1414">
      <c r="B1414" s="3" t="s">
        <v>2229</v>
      </c>
    </row>
    <row r="1415">
      <c r="B1415" s="3" t="s">
        <v>2230</v>
      </c>
    </row>
    <row r="1416">
      <c r="B1416" s="3" t="s">
        <v>2231</v>
      </c>
    </row>
    <row r="1417">
      <c r="B1417" s="3" t="s">
        <v>2232</v>
      </c>
    </row>
    <row r="1418">
      <c r="B1418" s="3" t="s">
        <v>1399</v>
      </c>
    </row>
    <row r="1419">
      <c r="B1419" s="3" t="s">
        <v>2233</v>
      </c>
    </row>
    <row r="1420">
      <c r="B1420" s="3" t="s">
        <v>2231</v>
      </c>
    </row>
    <row r="1421">
      <c r="B1421" s="3" t="s">
        <v>2234</v>
      </c>
    </row>
    <row r="1422">
      <c r="B1422" s="3" t="s">
        <v>1399</v>
      </c>
    </row>
    <row r="1423">
      <c r="B1423" s="3" t="s">
        <v>2235</v>
      </c>
    </row>
    <row r="1424">
      <c r="B1424" s="3" t="s">
        <v>2236</v>
      </c>
    </row>
    <row r="1425">
      <c r="B1425" s="3" t="s">
        <v>2237</v>
      </c>
    </row>
    <row r="1426">
      <c r="B1426" s="3" t="s">
        <v>2238</v>
      </c>
    </row>
    <row r="1427">
      <c r="B1427" s="3" t="s">
        <v>1399</v>
      </c>
    </row>
    <row r="1428">
      <c r="B1428" s="3" t="s">
        <v>2239</v>
      </c>
    </row>
    <row r="1429">
      <c r="B1429" s="3" t="s">
        <v>2240</v>
      </c>
    </row>
    <row r="1430">
      <c r="B1430" s="3" t="s">
        <v>2231</v>
      </c>
    </row>
    <row r="1431">
      <c r="B1431" s="3" t="s">
        <v>2241</v>
      </c>
    </row>
    <row r="1432">
      <c r="B1432" s="3" t="s">
        <v>2242</v>
      </c>
    </row>
    <row r="1433">
      <c r="B1433" s="3" t="s">
        <v>2243</v>
      </c>
    </row>
    <row r="1434">
      <c r="B1434" s="3" t="s">
        <v>1399</v>
      </c>
    </row>
    <row r="1435">
      <c r="B1435" s="3" t="s">
        <v>2244</v>
      </c>
    </row>
    <row r="1436">
      <c r="B1436" s="3" t="s">
        <v>2245</v>
      </c>
    </row>
    <row r="1437">
      <c r="B1437" s="3" t="s">
        <v>1485</v>
      </c>
    </row>
    <row r="1440">
      <c r="B1440" s="3" t="s">
        <v>2246</v>
      </c>
    </row>
    <row r="1442">
      <c r="B1442" s="3" t="s">
        <v>1420</v>
      </c>
    </row>
    <row r="1443">
      <c r="B1443" s="3" t="s">
        <v>2247</v>
      </c>
    </row>
    <row r="1444">
      <c r="B1444" s="3" t="s">
        <v>2248</v>
      </c>
    </row>
    <row r="1445">
      <c r="B1445" s="3" t="s">
        <v>1399</v>
      </c>
    </row>
    <row r="1446">
      <c r="B1446" s="3" t="s">
        <v>2231</v>
      </c>
    </row>
    <row r="1447">
      <c r="B1447" s="3" t="s">
        <v>2249</v>
      </c>
    </row>
    <row r="1448">
      <c r="B1448" s="3" t="s">
        <v>1399</v>
      </c>
    </row>
    <row r="1449">
      <c r="B1449" s="3" t="s">
        <v>2250</v>
      </c>
    </row>
    <row r="1450">
      <c r="B1450" s="3" t="s">
        <v>2251</v>
      </c>
    </row>
    <row r="1451">
      <c r="B1451" s="3" t="s">
        <v>2252</v>
      </c>
    </row>
    <row r="1452">
      <c r="B1452" s="3" t="s">
        <v>1399</v>
      </c>
    </row>
    <row r="1453">
      <c r="B1453" s="3" t="s">
        <v>2231</v>
      </c>
    </row>
    <row r="1454">
      <c r="B1454" s="3" t="s">
        <v>2253</v>
      </c>
    </row>
    <row r="1455">
      <c r="B1455" s="3" t="s">
        <v>2254</v>
      </c>
    </row>
    <row r="1456">
      <c r="B1456" s="3" t="s">
        <v>1399</v>
      </c>
    </row>
    <row r="1457">
      <c r="B1457" s="3" t="s">
        <v>1712</v>
      </c>
    </row>
    <row r="1458">
      <c r="B1458" s="3" t="s">
        <v>2255</v>
      </c>
    </row>
    <row r="1459">
      <c r="B1459" s="3" t="s">
        <v>2256</v>
      </c>
    </row>
    <row r="1460">
      <c r="B1460" s="3" t="s">
        <v>2257</v>
      </c>
    </row>
    <row r="1461">
      <c r="B1461" s="3" t="s">
        <v>2258</v>
      </c>
    </row>
    <row r="1462">
      <c r="B1462" s="3" t="s">
        <v>2259</v>
      </c>
    </row>
    <row r="1463">
      <c r="B1463" s="3" t="s">
        <v>2260</v>
      </c>
    </row>
    <row r="1464">
      <c r="B1464" s="3" t="s">
        <v>2261</v>
      </c>
    </row>
    <row r="1465">
      <c r="B1465" s="3" t="s">
        <v>2262</v>
      </c>
    </row>
    <row r="1466">
      <c r="B1466" s="3" t="s">
        <v>2263</v>
      </c>
    </row>
    <row r="1467">
      <c r="B1467" s="3" t="s">
        <v>1399</v>
      </c>
    </row>
    <row r="1468">
      <c r="B1468" s="3" t="s">
        <v>2264</v>
      </c>
    </row>
    <row r="1469">
      <c r="B1469" s="3" t="s">
        <v>2265</v>
      </c>
    </row>
    <row r="1470">
      <c r="B1470" s="3" t="s">
        <v>2266</v>
      </c>
    </row>
    <row r="1471">
      <c r="B1471" s="3" t="s">
        <v>2267</v>
      </c>
    </row>
    <row r="1472">
      <c r="B1472" s="3" t="s">
        <v>2268</v>
      </c>
    </row>
    <row r="1473">
      <c r="B1473" s="3" t="s">
        <v>2269</v>
      </c>
    </row>
    <row r="1474">
      <c r="B1474" s="3" t="s">
        <v>1399</v>
      </c>
    </row>
    <row r="1475">
      <c r="B1475" s="3" t="s">
        <v>2270</v>
      </c>
    </row>
    <row r="1476">
      <c r="B1476" s="3" t="s">
        <v>2271</v>
      </c>
    </row>
    <row r="1477">
      <c r="B1477" s="3" t="s">
        <v>2272</v>
      </c>
    </row>
    <row r="1478">
      <c r="B1478" s="3" t="s">
        <v>2273</v>
      </c>
    </row>
    <row r="1479">
      <c r="B1479" s="3" t="s">
        <v>1399</v>
      </c>
    </row>
    <row r="1480">
      <c r="B1480" s="3" t="s">
        <v>2274</v>
      </c>
    </row>
    <row r="1483">
      <c r="B1483" s="3" t="s">
        <v>2275</v>
      </c>
    </row>
    <row r="1485">
      <c r="B1485" s="3" t="s">
        <v>1420</v>
      </c>
    </row>
    <row r="1486">
      <c r="B1486" s="3" t="s">
        <v>2276</v>
      </c>
    </row>
    <row r="1487">
      <c r="B1487" s="3" t="s">
        <v>2277</v>
      </c>
    </row>
    <row r="1488">
      <c r="B1488" s="3" t="s">
        <v>1399</v>
      </c>
    </row>
    <row r="1489">
      <c r="B1489" s="3" t="s">
        <v>2278</v>
      </c>
    </row>
    <row r="1490">
      <c r="B1490" s="3" t="s">
        <v>2279</v>
      </c>
    </row>
    <row r="1491">
      <c r="B1491" s="3" t="s">
        <v>2280</v>
      </c>
    </row>
    <row r="1492">
      <c r="B1492" s="3" t="s">
        <v>2281</v>
      </c>
    </row>
    <row r="1493">
      <c r="B1493" s="3" t="s">
        <v>2282</v>
      </c>
    </row>
    <row r="1494">
      <c r="B1494" s="3" t="s">
        <v>2283</v>
      </c>
    </row>
    <row r="1495">
      <c r="B1495" s="3" t="s">
        <v>2284</v>
      </c>
    </row>
    <row r="1496">
      <c r="B1496" s="3" t="s">
        <v>2285</v>
      </c>
    </row>
    <row r="1497">
      <c r="B1497" s="3" t="s">
        <v>2251</v>
      </c>
    </row>
    <row r="1498">
      <c r="B1498" s="3" t="s">
        <v>2277</v>
      </c>
    </row>
    <row r="1499">
      <c r="B1499" s="3" t="s">
        <v>1399</v>
      </c>
    </row>
    <row r="1500">
      <c r="B1500" s="3" t="s">
        <v>2286</v>
      </c>
    </row>
    <row r="1501">
      <c r="B1501" s="3" t="s">
        <v>2287</v>
      </c>
    </row>
    <row r="1502">
      <c r="B1502" s="3" t="s">
        <v>2253</v>
      </c>
    </row>
    <row r="1503">
      <c r="B1503" s="3" t="s">
        <v>2288</v>
      </c>
    </row>
    <row r="1504">
      <c r="B1504" s="3" t="s">
        <v>1399</v>
      </c>
    </row>
    <row r="1505">
      <c r="B1505" s="3" t="s">
        <v>2289</v>
      </c>
    </row>
    <row r="1506">
      <c r="B1506" s="3" t="s">
        <v>2290</v>
      </c>
    </row>
    <row r="1507">
      <c r="B1507" s="3" t="s">
        <v>2291</v>
      </c>
    </row>
    <row r="1508">
      <c r="B1508" s="3" t="s">
        <v>2292</v>
      </c>
    </row>
    <row r="1509">
      <c r="B1509" s="3" t="s">
        <v>2293</v>
      </c>
    </row>
    <row r="1510">
      <c r="B1510" s="3" t="s">
        <v>2294</v>
      </c>
    </row>
    <row r="1511">
      <c r="B1511" s="3" t="s">
        <v>1399</v>
      </c>
    </row>
    <row r="1512">
      <c r="B1512" s="3" t="s">
        <v>2295</v>
      </c>
    </row>
    <row r="1513">
      <c r="B1513" s="3" t="s">
        <v>2296</v>
      </c>
    </row>
    <row r="1514">
      <c r="B1514" s="3" t="s">
        <v>2297</v>
      </c>
    </row>
    <row r="1515">
      <c r="B1515" s="3" t="s">
        <v>2298</v>
      </c>
    </row>
    <row r="1516">
      <c r="B1516" s="3" t="s">
        <v>2299</v>
      </c>
    </row>
    <row r="1517">
      <c r="B1517" s="3" t="s">
        <v>2300</v>
      </c>
    </row>
    <row r="1518">
      <c r="B1518" s="3" t="s">
        <v>2301</v>
      </c>
    </row>
    <row r="1519">
      <c r="B1519" s="3" t="s">
        <v>2302</v>
      </c>
    </row>
    <row r="1520">
      <c r="B1520" s="3" t="s">
        <v>2303</v>
      </c>
    </row>
    <row r="1521">
      <c r="B1521" s="3" t="s">
        <v>1399</v>
      </c>
    </row>
    <row r="1522">
      <c r="B1522" s="3" t="s">
        <v>2304</v>
      </c>
    </row>
    <row r="1523">
      <c r="B1523" s="3" t="s">
        <v>2305</v>
      </c>
    </row>
    <row r="1524">
      <c r="B1524" s="3" t="s">
        <v>2306</v>
      </c>
    </row>
    <row r="1525">
      <c r="B1525" s="3" t="s">
        <v>2268</v>
      </c>
    </row>
    <row r="1526">
      <c r="B1526" s="3" t="s">
        <v>2307</v>
      </c>
    </row>
    <row r="1527">
      <c r="B1527" s="3" t="s">
        <v>1399</v>
      </c>
    </row>
    <row r="1528">
      <c r="B1528" s="3" t="s">
        <v>2308</v>
      </c>
    </row>
    <row r="1529">
      <c r="B1529" s="3" t="s">
        <v>2309</v>
      </c>
    </row>
    <row r="1530">
      <c r="B1530" s="3" t="s">
        <v>2310</v>
      </c>
    </row>
    <row r="1531">
      <c r="B1531" s="3" t="s">
        <v>2311</v>
      </c>
    </row>
    <row r="1532">
      <c r="B1532" s="3" t="s">
        <v>2312</v>
      </c>
    </row>
    <row r="1533">
      <c r="B1533" s="3" t="s">
        <v>2313</v>
      </c>
    </row>
    <row r="1534">
      <c r="B1534" s="3" t="s">
        <v>2314</v>
      </c>
    </row>
    <row r="1535">
      <c r="B1535" s="3" t="s">
        <v>2315</v>
      </c>
    </row>
    <row r="1536">
      <c r="B1536" s="3" t="s">
        <v>1399</v>
      </c>
    </row>
    <row r="1537">
      <c r="B1537" s="3" t="s">
        <v>2316</v>
      </c>
    </row>
    <row r="1538">
      <c r="B1538" s="3" t="s">
        <v>2317</v>
      </c>
    </row>
    <row r="1539">
      <c r="B1539" s="3" t="s">
        <v>2318</v>
      </c>
    </row>
    <row r="1540">
      <c r="B1540" s="3" t="s">
        <v>1399</v>
      </c>
    </row>
    <row r="1541">
      <c r="B1541" s="3" t="s">
        <v>2319</v>
      </c>
    </row>
    <row r="1542">
      <c r="B1542" s="3" t="s">
        <v>2320</v>
      </c>
    </row>
    <row r="1543">
      <c r="B1543" s="3" t="s">
        <v>2321</v>
      </c>
    </row>
    <row r="1544">
      <c r="B1544" s="3" t="s">
        <v>2315</v>
      </c>
    </row>
    <row r="1545">
      <c r="B1545" s="3" t="s">
        <v>1399</v>
      </c>
    </row>
    <row r="1546">
      <c r="B1546" s="3" t="s">
        <v>2322</v>
      </c>
    </row>
    <row r="1547">
      <c r="B1547" s="3" t="s">
        <v>2323</v>
      </c>
    </row>
    <row r="1550">
      <c r="B1550" s="3" t="s">
        <v>2324</v>
      </c>
    </row>
    <row r="1552">
      <c r="B1552" s="3" t="s">
        <v>1420</v>
      </c>
    </row>
    <row r="1553">
      <c r="B1553" s="3" t="s">
        <v>2325</v>
      </c>
    </row>
    <row r="1554">
      <c r="B1554" s="3" t="s">
        <v>1399</v>
      </c>
    </row>
    <row r="1555">
      <c r="B1555" s="3" t="s">
        <v>2326</v>
      </c>
    </row>
    <row r="1556">
      <c r="B1556" s="3" t="s">
        <v>2327</v>
      </c>
    </row>
    <row r="1559">
      <c r="B1559" s="3" t="s">
        <v>2328</v>
      </c>
    </row>
    <row r="1561">
      <c r="B1561" s="3" t="s">
        <v>1420</v>
      </c>
    </row>
    <row r="1562">
      <c r="B1562" s="3" t="s">
        <v>2329</v>
      </c>
    </row>
    <row r="1563">
      <c r="B1563" s="3" t="s">
        <v>1399</v>
      </c>
    </row>
    <row r="1564">
      <c r="B1564" s="3" t="s">
        <v>2330</v>
      </c>
    </row>
    <row r="1565">
      <c r="B1565" s="3" t="s">
        <v>2331</v>
      </c>
    </row>
    <row r="1566">
      <c r="B1566" s="3" t="s">
        <v>2332</v>
      </c>
    </row>
    <row r="1567">
      <c r="B1567" s="3" t="s">
        <v>1399</v>
      </c>
    </row>
    <row r="1568">
      <c r="B1568" s="3" t="s">
        <v>2333</v>
      </c>
    </row>
    <row r="1569">
      <c r="B1569" s="3" t="s">
        <v>2334</v>
      </c>
    </row>
    <row r="1572">
      <c r="B1572" s="3" t="s">
        <v>2335</v>
      </c>
    </row>
    <row r="1574">
      <c r="B1574" s="3" t="s">
        <v>1420</v>
      </c>
    </row>
    <row r="1575">
      <c r="B1575" s="3" t="s">
        <v>2336</v>
      </c>
    </row>
    <row r="1576">
      <c r="B1576" s="3" t="s">
        <v>1399</v>
      </c>
    </row>
    <row r="1577">
      <c r="B1577" s="3" t="s">
        <v>2337</v>
      </c>
    </row>
    <row r="1578">
      <c r="B1578" s="3" t="s">
        <v>2338</v>
      </c>
    </row>
    <row r="1579">
      <c r="B1579" s="3" t="s">
        <v>2339</v>
      </c>
    </row>
    <row r="1580">
      <c r="B1580" s="3" t="s">
        <v>1399</v>
      </c>
    </row>
    <row r="1581">
      <c r="B1581" s="3" t="s">
        <v>2340</v>
      </c>
    </row>
    <row r="1582">
      <c r="B1582" s="3" t="s">
        <v>1506</v>
      </c>
    </row>
    <row r="1583">
      <c r="B1583" s="3" t="s">
        <v>2341</v>
      </c>
    </row>
    <row r="1586">
      <c r="B1586" s="3" t="s">
        <v>2342</v>
      </c>
    </row>
    <row r="1588">
      <c r="B1588" s="3" t="s">
        <v>1420</v>
      </c>
    </row>
    <row r="1589">
      <c r="B1589" s="3" t="s">
        <v>2343</v>
      </c>
    </row>
    <row r="1590">
      <c r="B1590" s="3" t="s">
        <v>1399</v>
      </c>
    </row>
    <row r="1591">
      <c r="B1591" s="3" t="s">
        <v>2344</v>
      </c>
    </row>
    <row r="1592">
      <c r="B1592" s="3" t="s">
        <v>2345</v>
      </c>
    </row>
    <row r="1595">
      <c r="B1595" s="3" t="s">
        <v>2346</v>
      </c>
    </row>
    <row r="1597">
      <c r="B1597" s="3" t="s">
        <v>1420</v>
      </c>
    </row>
    <row r="1598">
      <c r="B1598" s="3" t="s">
        <v>2347</v>
      </c>
    </row>
    <row r="1601">
      <c r="B1601" s="3" t="s">
        <v>2348</v>
      </c>
    </row>
    <row r="1603">
      <c r="B1603" s="3" t="s">
        <v>1420</v>
      </c>
    </row>
    <row r="1604">
      <c r="B1604" s="3" t="s">
        <v>2349</v>
      </c>
    </row>
    <row r="1605">
      <c r="B1605" s="3" t="s">
        <v>2350</v>
      </c>
    </row>
    <row r="1606">
      <c r="B1606" s="3" t="s">
        <v>2351</v>
      </c>
    </row>
    <row r="1607">
      <c r="B1607" s="3" t="s">
        <v>2352</v>
      </c>
    </row>
    <row r="1608">
      <c r="B1608" s="3" t="s">
        <v>2353</v>
      </c>
    </row>
    <row r="1609">
      <c r="B1609" s="3" t="s">
        <v>1399</v>
      </c>
    </row>
    <row r="1610">
      <c r="B1610" s="3" t="s">
        <v>2354</v>
      </c>
    </row>
    <row r="1611">
      <c r="B1611" s="3" t="s">
        <v>2355</v>
      </c>
    </row>
    <row r="1612">
      <c r="B1612" s="3" t="s">
        <v>2356</v>
      </c>
    </row>
    <row r="1613">
      <c r="B1613" s="3" t="s">
        <v>2357</v>
      </c>
    </row>
    <row r="1614">
      <c r="B1614" s="3" t="s">
        <v>2358</v>
      </c>
    </row>
    <row r="1615">
      <c r="B1615" s="3" t="s">
        <v>2359</v>
      </c>
    </row>
    <row r="1618">
      <c r="B1618" s="3" t="s">
        <v>2360</v>
      </c>
    </row>
    <row r="1620">
      <c r="B1620" s="3" t="s">
        <v>1420</v>
      </c>
    </row>
    <row r="1621">
      <c r="B1621" s="3" t="s">
        <v>2361</v>
      </c>
    </row>
    <row r="1622">
      <c r="B1622" s="3" t="s">
        <v>2362</v>
      </c>
    </row>
    <row r="1623">
      <c r="B1623" s="3" t="s">
        <v>2363</v>
      </c>
    </row>
    <row r="1624">
      <c r="B1624" s="3" t="s">
        <v>2364</v>
      </c>
    </row>
    <row r="1627">
      <c r="B1627" s="3" t="s">
        <v>2365</v>
      </c>
    </row>
    <row r="1629">
      <c r="B1629" s="3" t="s">
        <v>1420</v>
      </c>
    </row>
    <row r="1632">
      <c r="B1632" s="3" t="s">
        <v>2366</v>
      </c>
    </row>
    <row r="1634">
      <c r="B1634" s="3" t="s">
        <v>1420</v>
      </c>
    </row>
    <row r="1637">
      <c r="B1637" s="3" t="s">
        <v>2367</v>
      </c>
    </row>
    <row r="1639">
      <c r="B1639" s="3" t="s">
        <v>1420</v>
      </c>
    </row>
    <row r="1642">
      <c r="B1642" s="3" t="s">
        <v>2368</v>
      </c>
    </row>
    <row r="1644">
      <c r="B1644" s="3" t="s">
        <v>1420</v>
      </c>
    </row>
    <row r="1645">
      <c r="B1645" s="3" t="s">
        <v>2369</v>
      </c>
    </row>
    <row r="1646">
      <c r="B1646" s="3" t="s">
        <v>1399</v>
      </c>
    </row>
    <row r="1647">
      <c r="B1647" s="3" t="s">
        <v>2370</v>
      </c>
    </row>
    <row r="1648">
      <c r="B1648" s="3" t="s">
        <v>2371</v>
      </c>
    </row>
    <row r="1649">
      <c r="B1649" s="3" t="s">
        <v>2372</v>
      </c>
    </row>
    <row r="1650">
      <c r="B1650" s="3" t="s">
        <v>1399</v>
      </c>
    </row>
    <row r="1651">
      <c r="B1651" s="3" t="s">
        <v>2373</v>
      </c>
    </row>
    <row r="1652">
      <c r="B1652" s="3" t="s">
        <v>2374</v>
      </c>
    </row>
    <row r="1653">
      <c r="B1653" s="3" t="s">
        <v>2375</v>
      </c>
    </row>
    <row r="1654">
      <c r="B1654" s="3" t="s">
        <v>2376</v>
      </c>
    </row>
    <row r="1655">
      <c r="B1655" s="3" t="s">
        <v>1399</v>
      </c>
    </row>
    <row r="1656">
      <c r="B1656" s="3" t="s">
        <v>2377</v>
      </c>
    </row>
    <row r="1657">
      <c r="B1657" s="3" t="s">
        <v>2378</v>
      </c>
    </row>
    <row r="1658">
      <c r="B1658" s="3" t="s">
        <v>2379</v>
      </c>
    </row>
    <row r="1661">
      <c r="B1661" s="3" t="s">
        <v>2380</v>
      </c>
    </row>
    <row r="1663">
      <c r="B1663" s="3" t="s">
        <v>1420</v>
      </c>
    </row>
    <row r="1664">
      <c r="B1664" s="3" t="s">
        <v>2381</v>
      </c>
    </row>
    <row r="1665">
      <c r="B1665" s="3" t="s">
        <v>1399</v>
      </c>
    </row>
    <row r="1666">
      <c r="B1666" s="3" t="s">
        <v>2382</v>
      </c>
    </row>
    <row r="1667">
      <c r="B1667" s="3" t="s">
        <v>2383</v>
      </c>
    </row>
    <row r="1668">
      <c r="B1668" s="3" t="s">
        <v>2384</v>
      </c>
    </row>
    <row r="1669">
      <c r="B1669" s="3" t="s">
        <v>1399</v>
      </c>
    </row>
    <row r="1670">
      <c r="B1670" s="3" t="s">
        <v>2385</v>
      </c>
    </row>
    <row r="1671">
      <c r="B1671" s="3" t="s">
        <v>2386</v>
      </c>
    </row>
    <row r="1672">
      <c r="B1672" s="3" t="s">
        <v>2387</v>
      </c>
    </row>
    <row r="1673">
      <c r="B1673" s="3" t="s">
        <v>1399</v>
      </c>
    </row>
    <row r="1674">
      <c r="B1674" s="3" t="s">
        <v>2388</v>
      </c>
    </row>
    <row r="1675">
      <c r="B1675" s="3" t="s">
        <v>2389</v>
      </c>
    </row>
    <row r="1678">
      <c r="B1678" s="3" t="s">
        <v>2390</v>
      </c>
    </row>
    <row r="1680">
      <c r="B1680" s="3" t="s">
        <v>1420</v>
      </c>
    </row>
    <row r="1681">
      <c r="B1681" s="3" t="s">
        <v>2391</v>
      </c>
    </row>
    <row r="1684">
      <c r="B1684" s="3" t="s">
        <v>2392</v>
      </c>
    </row>
    <row r="1686">
      <c r="B1686" s="3" t="s">
        <v>1420</v>
      </c>
    </row>
    <row r="1687">
      <c r="B1687" s="3" t="s">
        <v>2393</v>
      </c>
    </row>
    <row r="1688">
      <c r="B1688" s="3" t="s">
        <v>1399</v>
      </c>
    </row>
    <row r="1689">
      <c r="B1689" s="3" t="s">
        <v>2394</v>
      </c>
    </row>
    <row r="1690">
      <c r="B1690" s="3" t="s">
        <v>2395</v>
      </c>
    </row>
    <row r="1691">
      <c r="B1691" s="3" t="s">
        <v>2396</v>
      </c>
    </row>
    <row r="1692">
      <c r="B1692" s="3" t="s">
        <v>1399</v>
      </c>
    </row>
    <row r="1693">
      <c r="B1693" s="3" t="s">
        <v>2397</v>
      </c>
    </row>
    <row r="1694">
      <c r="B1694" s="3" t="s">
        <v>2398</v>
      </c>
    </row>
    <row r="1697">
      <c r="B1697" s="3" t="s">
        <v>2399</v>
      </c>
    </row>
    <row r="1699">
      <c r="B1699" s="3" t="s">
        <v>1420</v>
      </c>
    </row>
    <row r="1700">
      <c r="B1700" s="3" t="s">
        <v>2400</v>
      </c>
    </row>
    <row r="1701">
      <c r="B1701" s="3" t="s">
        <v>1399</v>
      </c>
    </row>
    <row r="1702">
      <c r="B1702" s="3" t="s">
        <v>2401</v>
      </c>
    </row>
    <row r="1705">
      <c r="B1705" s="3" t="s">
        <v>2402</v>
      </c>
    </row>
    <row r="1707">
      <c r="B1707" s="3" t="s">
        <v>1420</v>
      </c>
    </row>
    <row r="1708">
      <c r="B1708" s="3" t="s">
        <v>2403</v>
      </c>
    </row>
    <row r="1709">
      <c r="B1709" s="3" t="s">
        <v>1399</v>
      </c>
    </row>
    <row r="1710">
      <c r="B1710" s="3" t="s">
        <v>2404</v>
      </c>
    </row>
    <row r="1711">
      <c r="B1711" s="3" t="s">
        <v>1859</v>
      </c>
    </row>
    <row r="1714">
      <c r="B1714" s="3" t="s">
        <v>2405</v>
      </c>
    </row>
    <row r="1716">
      <c r="B1716" s="3" t="s">
        <v>1420</v>
      </c>
    </row>
    <row r="1717">
      <c r="B1717" s="3" t="s">
        <v>2406</v>
      </c>
    </row>
    <row r="1718">
      <c r="B1718" s="3" t="s">
        <v>1399</v>
      </c>
    </row>
    <row r="1719">
      <c r="B1719" s="3" t="s">
        <v>2407</v>
      </c>
    </row>
    <row r="1720">
      <c r="B1720" s="3" t="s">
        <v>2408</v>
      </c>
    </row>
    <row r="1721">
      <c r="B1721" s="3" t="s">
        <v>2409</v>
      </c>
    </row>
    <row r="1722">
      <c r="B1722" s="3" t="s">
        <v>1399</v>
      </c>
    </row>
    <row r="1723">
      <c r="B1723" s="3" t="s">
        <v>2410</v>
      </c>
    </row>
    <row r="1724">
      <c r="B1724" s="3" t="s">
        <v>2411</v>
      </c>
    </row>
    <row r="1727">
      <c r="B1727" s="3" t="s">
        <v>2412</v>
      </c>
    </row>
    <row r="1729">
      <c r="B1729" s="3" t="s">
        <v>1420</v>
      </c>
    </row>
    <row r="1732">
      <c r="B1732" s="3" t="s">
        <v>2413</v>
      </c>
    </row>
    <row r="1734">
      <c r="B1734" s="3" t="s">
        <v>1420</v>
      </c>
    </row>
    <row r="1737">
      <c r="B1737" s="3" t="s">
        <v>2414</v>
      </c>
    </row>
    <row r="1739">
      <c r="B1739" s="3" t="s">
        <v>1420</v>
      </c>
    </row>
    <row r="1740">
      <c r="B1740" s="3" t="s">
        <v>2415</v>
      </c>
    </row>
    <row r="1741">
      <c r="B1741" s="3" t="s">
        <v>1399</v>
      </c>
    </row>
    <row r="1742">
      <c r="B1742" s="3" t="s">
        <v>2416</v>
      </c>
    </row>
    <row r="1743">
      <c r="B1743" s="3" t="s">
        <v>2417</v>
      </c>
    </row>
    <row r="1744">
      <c r="B1744" s="3" t="s">
        <v>2418</v>
      </c>
    </row>
    <row r="1745">
      <c r="B1745" s="3" t="s">
        <v>1399</v>
      </c>
    </row>
    <row r="1746">
      <c r="B1746" s="3" t="s">
        <v>2419</v>
      </c>
    </row>
    <row r="1749">
      <c r="B1749" s="3" t="s">
        <v>2420</v>
      </c>
    </row>
    <row r="1751">
      <c r="B1751" s="3" t="s">
        <v>1420</v>
      </c>
    </row>
    <row r="1752">
      <c r="B1752" s="3" t="s">
        <v>2421</v>
      </c>
    </row>
    <row r="1753">
      <c r="B1753" s="3" t="s">
        <v>2422</v>
      </c>
    </row>
    <row r="1754">
      <c r="B1754" s="3" t="s">
        <v>1399</v>
      </c>
    </row>
    <row r="1755">
      <c r="B1755" s="3" t="s">
        <v>2423</v>
      </c>
    </row>
    <row r="1756">
      <c r="B1756" s="3" t="s">
        <v>2424</v>
      </c>
    </row>
    <row r="1757">
      <c r="B1757" s="3" t="s">
        <v>2425</v>
      </c>
    </row>
    <row r="1758">
      <c r="B1758" s="3" t="s">
        <v>1399</v>
      </c>
    </row>
    <row r="1759">
      <c r="B1759" s="3" t="s">
        <v>2426</v>
      </c>
    </row>
    <row r="1760">
      <c r="B1760" s="3" t="s">
        <v>2427</v>
      </c>
    </row>
    <row r="1761">
      <c r="B1761" s="3" t="s">
        <v>1399</v>
      </c>
    </row>
    <row r="1762">
      <c r="B1762" s="3" t="s">
        <v>2428</v>
      </c>
    </row>
    <row r="1763">
      <c r="B1763" s="3" t="s">
        <v>2429</v>
      </c>
    </row>
    <row r="1766">
      <c r="B1766" s="3" t="s">
        <v>2430</v>
      </c>
    </row>
    <row r="1768">
      <c r="B1768" s="3" t="s">
        <v>1420</v>
      </c>
    </row>
    <row r="1769">
      <c r="B1769" s="3" t="s">
        <v>2431</v>
      </c>
    </row>
    <row r="1770">
      <c r="B1770" s="3" t="s">
        <v>2422</v>
      </c>
    </row>
    <row r="1771">
      <c r="B1771" s="3" t="s">
        <v>1399</v>
      </c>
    </row>
    <row r="1772">
      <c r="B1772" s="3" t="s">
        <v>2432</v>
      </c>
    </row>
    <row r="1773">
      <c r="B1773" s="3" t="s">
        <v>2425</v>
      </c>
    </row>
    <row r="1774">
      <c r="B1774" s="3" t="s">
        <v>1399</v>
      </c>
    </row>
    <row r="1775">
      <c r="B1775" s="3" t="s">
        <v>2433</v>
      </c>
    </row>
    <row r="1776">
      <c r="B1776" s="3" t="s">
        <v>2434</v>
      </c>
    </row>
    <row r="1777">
      <c r="B1777" s="3" t="s">
        <v>1399</v>
      </c>
    </row>
    <row r="1778">
      <c r="B1778" s="3" t="s">
        <v>2435</v>
      </c>
    </row>
    <row r="1779">
      <c r="B1779" s="3" t="s">
        <v>2436</v>
      </c>
    </row>
    <row r="1782">
      <c r="B1782" s="3" t="s">
        <v>2437</v>
      </c>
    </row>
    <row r="1784">
      <c r="B1784" s="3" t="s">
        <v>1420</v>
      </c>
    </row>
    <row r="1785">
      <c r="B1785" s="3" t="s">
        <v>2438</v>
      </c>
    </row>
    <row r="1786">
      <c r="B1786" s="3" t="s">
        <v>2439</v>
      </c>
    </row>
    <row r="1787">
      <c r="B1787" s="3" t="s">
        <v>1399</v>
      </c>
    </row>
    <row r="1788">
      <c r="B1788" s="3" t="s">
        <v>2440</v>
      </c>
    </row>
    <row r="1789">
      <c r="B1789" s="3" t="s">
        <v>2441</v>
      </c>
    </row>
    <row r="1790">
      <c r="B1790" s="3" t="s">
        <v>2442</v>
      </c>
    </row>
    <row r="1791">
      <c r="B1791" s="3" t="s">
        <v>1399</v>
      </c>
    </row>
    <row r="1792">
      <c r="B1792" s="3" t="s">
        <v>2443</v>
      </c>
    </row>
    <row r="1795">
      <c r="B1795" s="3" t="s">
        <v>2444</v>
      </c>
    </row>
    <row r="1797">
      <c r="B1797" s="3" t="s">
        <v>1420</v>
      </c>
    </row>
    <row r="1798">
      <c r="B1798" s="3" t="s">
        <v>2421</v>
      </c>
    </row>
    <row r="1799">
      <c r="B1799" s="3" t="s">
        <v>2422</v>
      </c>
    </row>
    <row r="1800">
      <c r="B1800" s="3" t="s">
        <v>1399</v>
      </c>
    </row>
    <row r="1801">
      <c r="B1801" s="3" t="s">
        <v>2445</v>
      </c>
    </row>
    <row r="1802">
      <c r="B1802" s="3" t="s">
        <v>2441</v>
      </c>
    </row>
    <row r="1803">
      <c r="B1803" s="3" t="s">
        <v>2425</v>
      </c>
    </row>
    <row r="1804">
      <c r="B1804" s="3" t="s">
        <v>1399</v>
      </c>
    </row>
    <row r="1805">
      <c r="B1805" s="3" t="s">
        <v>2446</v>
      </c>
    </row>
    <row r="1808">
      <c r="B1808" s="3" t="s">
        <v>2447</v>
      </c>
    </row>
    <row r="1810">
      <c r="B1810" s="3" t="s">
        <v>1420</v>
      </c>
    </row>
    <row r="1813">
      <c r="B1813" s="3" t="s">
        <v>2448</v>
      </c>
    </row>
    <row r="1815">
      <c r="B1815" s="3" t="s">
        <v>1420</v>
      </c>
    </row>
    <row r="1818">
      <c r="B1818" s="3" t="s">
        <v>2449</v>
      </c>
    </row>
    <row r="1820">
      <c r="B1820" s="3" t="s">
        <v>1420</v>
      </c>
    </row>
    <row r="1823">
      <c r="B1823" s="3" t="s">
        <v>2450</v>
      </c>
    </row>
    <row r="1825">
      <c r="B1825" s="3" t="s">
        <v>1420</v>
      </c>
    </row>
    <row r="1828">
      <c r="B1828" s="3" t="s">
        <v>2451</v>
      </c>
    </row>
    <row r="1830">
      <c r="B1830" s="3" t="s">
        <v>1420</v>
      </c>
    </row>
    <row r="1831">
      <c r="B1831" s="3" t="s">
        <v>2452</v>
      </c>
    </row>
    <row r="1832">
      <c r="B1832" s="3" t="s">
        <v>2422</v>
      </c>
    </row>
    <row r="1833">
      <c r="B1833" s="3" t="s">
        <v>1399</v>
      </c>
    </row>
    <row r="1834">
      <c r="B1834" s="3" t="s">
        <v>2453</v>
      </c>
    </row>
    <row r="1835">
      <c r="B1835" s="3" t="s">
        <v>2454</v>
      </c>
    </row>
    <row r="1836">
      <c r="B1836" s="3" t="s">
        <v>2425</v>
      </c>
    </row>
    <row r="1837">
      <c r="B1837" s="3" t="s">
        <v>1399</v>
      </c>
    </row>
    <row r="1838">
      <c r="B1838" s="3" t="s">
        <v>2455</v>
      </c>
    </row>
    <row r="1839">
      <c r="B1839" s="3" t="s">
        <v>1742</v>
      </c>
    </row>
    <row r="1842">
      <c r="B1842" s="3" t="s">
        <v>2456</v>
      </c>
    </row>
    <row r="1844">
      <c r="B1844" s="3" t="s">
        <v>1420</v>
      </c>
    </row>
    <row r="1847">
      <c r="B1847" s="3" t="s">
        <v>2457</v>
      </c>
    </row>
    <row r="1849">
      <c r="B1849" s="3" t="s">
        <v>1420</v>
      </c>
    </row>
    <row r="1850">
      <c r="B1850" s="3" t="s">
        <v>2458</v>
      </c>
    </row>
    <row r="1851">
      <c r="B1851" s="3" t="s">
        <v>1399</v>
      </c>
    </row>
    <row r="1852">
      <c r="B1852" s="3" t="s">
        <v>2274</v>
      </c>
    </row>
    <row r="1855">
      <c r="B1855" s="3" t="s">
        <v>2459</v>
      </c>
    </row>
    <row r="1857">
      <c r="B1857" s="3" t="s">
        <v>1420</v>
      </c>
    </row>
    <row r="1858">
      <c r="B1858" s="3" t="s">
        <v>2460</v>
      </c>
    </row>
    <row r="1859">
      <c r="B1859" s="3" t="s">
        <v>1399</v>
      </c>
    </row>
    <row r="1860">
      <c r="B1860" s="3" t="s">
        <v>2461</v>
      </c>
    </row>
    <row r="1861">
      <c r="B1861" s="3" t="s">
        <v>2462</v>
      </c>
    </row>
    <row r="1864">
      <c r="B1864" s="3" t="s">
        <v>2463</v>
      </c>
    </row>
    <row r="1866">
      <c r="B1866" s="3" t="s">
        <v>1420</v>
      </c>
    </row>
    <row r="1869">
      <c r="B1869" s="3" t="s">
        <v>2464</v>
      </c>
    </row>
    <row r="1871">
      <c r="B1871" s="3" t="s">
        <v>1420</v>
      </c>
    </row>
    <row r="1872">
      <c r="B1872" s="3" t="s">
        <v>2465</v>
      </c>
    </row>
    <row r="1873">
      <c r="B1873" s="3" t="s">
        <v>1399</v>
      </c>
    </row>
    <row r="1874">
      <c r="B1874" s="3" t="s">
        <v>2466</v>
      </c>
    </row>
    <row r="1875">
      <c r="B1875" s="3" t="s">
        <v>2467</v>
      </c>
    </row>
    <row r="1878">
      <c r="B1878" s="3" t="s">
        <v>2468</v>
      </c>
    </row>
    <row r="1880">
      <c r="B1880" s="3" t="s">
        <v>1420</v>
      </c>
    </row>
    <row r="1881">
      <c r="B1881" s="3" t="s">
        <v>2469</v>
      </c>
    </row>
    <row r="1882">
      <c r="B1882" s="3" t="s">
        <v>1399</v>
      </c>
    </row>
    <row r="1883">
      <c r="B1883" s="3" t="s">
        <v>2470</v>
      </c>
    </row>
    <row r="1886">
      <c r="B1886" s="3" t="s">
        <v>2471</v>
      </c>
    </row>
    <row r="1888">
      <c r="B1888" s="3" t="s">
        <v>1420</v>
      </c>
    </row>
    <row r="1889">
      <c r="B1889" s="3" t="s">
        <v>2472</v>
      </c>
    </row>
    <row r="1890">
      <c r="B1890" s="3" t="s">
        <v>1399</v>
      </c>
    </row>
    <row r="1891">
      <c r="B1891" s="3" t="s">
        <v>2473</v>
      </c>
    </row>
    <row r="1892">
      <c r="B1892" s="3" t="s">
        <v>2474</v>
      </c>
    </row>
    <row r="1895">
      <c r="B1895" s="3" t="s">
        <v>2475</v>
      </c>
    </row>
    <row r="1897">
      <c r="B1897" s="3" t="s">
        <v>1420</v>
      </c>
    </row>
    <row r="1900">
      <c r="B1900" s="3" t="s">
        <v>2476</v>
      </c>
    </row>
    <row r="1902">
      <c r="B1902" s="3" t="s">
        <v>1420</v>
      </c>
    </row>
    <row r="1905">
      <c r="B1905" s="3" t="s">
        <v>2477</v>
      </c>
    </row>
    <row r="1907">
      <c r="B1907" s="3" t="s">
        <v>1420</v>
      </c>
    </row>
    <row r="1910">
      <c r="B1910" s="3" t="s">
        <v>2478</v>
      </c>
    </row>
    <row r="1912">
      <c r="B1912" s="3" t="s">
        <v>1420</v>
      </c>
    </row>
    <row r="1915">
      <c r="B1915" s="3" t="s">
        <v>2479</v>
      </c>
    </row>
    <row r="1917">
      <c r="B1917" s="3" t="s">
        <v>1420</v>
      </c>
    </row>
    <row r="1920">
      <c r="B1920" s="3" t="s">
        <v>2480</v>
      </c>
    </row>
    <row r="1922">
      <c r="B1922" s="3" t="s">
        <v>1420</v>
      </c>
    </row>
    <row r="1925">
      <c r="B1925" s="3" t="s">
        <v>2481</v>
      </c>
    </row>
    <row r="1927">
      <c r="B1927" s="3" t="s">
        <v>1420</v>
      </c>
    </row>
    <row r="1930">
      <c r="B1930" s="3" t="s">
        <v>2482</v>
      </c>
    </row>
    <row r="1932">
      <c r="B1932" s="3" t="s">
        <v>1420</v>
      </c>
    </row>
    <row r="1935">
      <c r="B1935" s="3" t="s">
        <v>2483</v>
      </c>
    </row>
    <row r="1937">
      <c r="B1937" s="3" t="s">
        <v>1420</v>
      </c>
    </row>
    <row r="1940">
      <c r="B1940" s="3" t="s">
        <v>2484</v>
      </c>
    </row>
    <row r="1942">
      <c r="B1942" s="3" t="s">
        <v>1420</v>
      </c>
    </row>
    <row r="1945">
      <c r="B1945" s="3" t="s">
        <v>2485</v>
      </c>
    </row>
    <row r="1947">
      <c r="B1947" s="3" t="s">
        <v>1420</v>
      </c>
    </row>
    <row r="1950">
      <c r="B1950" s="3" t="s">
        <v>2486</v>
      </c>
    </row>
    <row r="1952">
      <c r="B1952" s="3" t="s">
        <v>1420</v>
      </c>
    </row>
    <row r="1955">
      <c r="B1955" s="3" t="s">
        <v>2487</v>
      </c>
    </row>
    <row r="1957">
      <c r="B1957" s="3" t="s">
        <v>1420</v>
      </c>
    </row>
    <row r="1960">
      <c r="B1960" s="3" t="s">
        <v>2488</v>
      </c>
    </row>
    <row r="1962">
      <c r="B1962" s="3" t="s">
        <v>1420</v>
      </c>
    </row>
    <row r="1963">
      <c r="B1963" s="3" t="s">
        <v>2489</v>
      </c>
    </row>
    <row r="1964">
      <c r="B1964" s="3" t="s">
        <v>2490</v>
      </c>
    </row>
    <row r="1965">
      <c r="B1965" s="3" t="s">
        <v>2491</v>
      </c>
    </row>
    <row r="1966">
      <c r="B1966" s="3" t="s">
        <v>1399</v>
      </c>
    </row>
    <row r="1967">
      <c r="B1967" s="3" t="s">
        <v>1859</v>
      </c>
    </row>
    <row r="1968">
      <c r="B1968" s="3" t="s">
        <v>2492</v>
      </c>
    </row>
    <row r="1969">
      <c r="B1969" s="3" t="s">
        <v>1399</v>
      </c>
    </row>
    <row r="1970">
      <c r="B1970" s="3" t="s">
        <v>2493</v>
      </c>
    </row>
    <row r="1971">
      <c r="B1971" s="3" t="s">
        <v>2494</v>
      </c>
    </row>
    <row r="1972">
      <c r="B1972" s="3" t="s">
        <v>2495</v>
      </c>
    </row>
    <row r="1975">
      <c r="B1975" s="3" t="s">
        <v>2496</v>
      </c>
    </row>
    <row r="1977">
      <c r="B1977" s="3" t="s">
        <v>1420</v>
      </c>
    </row>
    <row r="1980">
      <c r="B1980" s="3" t="s">
        <v>2497</v>
      </c>
    </row>
    <row r="1982">
      <c r="B1982" s="3" t="s">
        <v>1420</v>
      </c>
    </row>
    <row r="1983">
      <c r="B1983" s="3" t="s">
        <v>2491</v>
      </c>
    </row>
    <row r="1984">
      <c r="B1984" s="3" t="s">
        <v>1399</v>
      </c>
    </row>
    <row r="1985">
      <c r="B1985" s="3" t="s">
        <v>1859</v>
      </c>
    </row>
    <row r="1986">
      <c r="B1986" s="3" t="s">
        <v>2498</v>
      </c>
    </row>
    <row r="1987">
      <c r="B1987" s="3" t="s">
        <v>1399</v>
      </c>
    </row>
    <row r="1988">
      <c r="B1988" s="3" t="s">
        <v>2499</v>
      </c>
    </row>
    <row r="1991">
      <c r="B1991" s="3" t="s">
        <v>2500</v>
      </c>
    </row>
    <row r="1993">
      <c r="B1993" s="3" t="s">
        <v>1420</v>
      </c>
    </row>
    <row r="1994">
      <c r="B1994" s="3" t="s">
        <v>2491</v>
      </c>
    </row>
    <row r="1995">
      <c r="B1995" s="3" t="s">
        <v>2501</v>
      </c>
    </row>
    <row r="1998">
      <c r="B1998" s="3" t="s">
        <v>2502</v>
      </c>
    </row>
    <row r="2000">
      <c r="B2000" s="3" t="s">
        <v>1420</v>
      </c>
    </row>
    <row r="2001">
      <c r="B2001" s="3" t="s">
        <v>2503</v>
      </c>
    </row>
    <row r="2002">
      <c r="B2002" s="3" t="s">
        <v>2504</v>
      </c>
    </row>
    <row r="2003">
      <c r="B2003" s="3" t="s">
        <v>1399</v>
      </c>
    </row>
    <row r="2004">
      <c r="B2004" s="3" t="s">
        <v>2505</v>
      </c>
    </row>
    <row r="2005">
      <c r="B2005" s="3" t="s">
        <v>2506</v>
      </c>
    </row>
    <row r="2006">
      <c r="B2006" s="3" t="s">
        <v>2507</v>
      </c>
    </row>
    <row r="2007">
      <c r="B2007" s="3" t="s">
        <v>2508</v>
      </c>
    </row>
    <row r="2008">
      <c r="B2008" s="3" t="s">
        <v>2509</v>
      </c>
    </row>
    <row r="2009">
      <c r="B2009" s="3" t="s">
        <v>2314</v>
      </c>
    </row>
    <row r="2010">
      <c r="B2010" s="3" t="s">
        <v>1399</v>
      </c>
    </row>
    <row r="2011">
      <c r="B2011" s="3" t="s">
        <v>1506</v>
      </c>
    </row>
    <row r="2012">
      <c r="B2012" s="3" t="s">
        <v>2510</v>
      </c>
    </row>
    <row r="2015">
      <c r="B2015" s="3" t="s">
        <v>2511</v>
      </c>
    </row>
    <row r="2017">
      <c r="B2017" s="3" t="s">
        <v>1420</v>
      </c>
    </row>
    <row r="2020">
      <c r="B2020" s="3" t="s">
        <v>2512</v>
      </c>
    </row>
    <row r="2022">
      <c r="B2022" s="3" t="s">
        <v>1420</v>
      </c>
    </row>
    <row r="2023">
      <c r="B2023" s="3" t="s">
        <v>2513</v>
      </c>
    </row>
    <row r="2024">
      <c r="B2024" s="3" t="s">
        <v>2321</v>
      </c>
    </row>
    <row r="2027">
      <c r="B2027" s="3" t="s">
        <v>2514</v>
      </c>
    </row>
    <row r="2029">
      <c r="B2029" s="3" t="s">
        <v>1420</v>
      </c>
    </row>
    <row r="2030">
      <c r="B2030" s="3" t="s">
        <v>2314</v>
      </c>
    </row>
    <row r="2031">
      <c r="B2031" s="3" t="s">
        <v>1399</v>
      </c>
    </row>
    <row r="2032">
      <c r="B2032" s="3" t="s">
        <v>2375</v>
      </c>
    </row>
    <row r="2033">
      <c r="B2033" s="3" t="s">
        <v>2515</v>
      </c>
    </row>
    <row r="2034">
      <c r="B2034" s="3" t="s">
        <v>1399</v>
      </c>
    </row>
    <row r="2035">
      <c r="B2035" s="3" t="s">
        <v>2516</v>
      </c>
    </row>
    <row r="2036">
      <c r="B2036" s="3" t="s">
        <v>2517</v>
      </c>
    </row>
    <row r="2037">
      <c r="B2037" s="3" t="s">
        <v>2518</v>
      </c>
    </row>
    <row r="2040">
      <c r="B2040" s="3" t="s">
        <v>2514</v>
      </c>
    </row>
    <row r="2042">
      <c r="B2042" s="3" t="s">
        <v>1420</v>
      </c>
    </row>
    <row r="2045">
      <c r="B2045" s="3" t="s">
        <v>2519</v>
      </c>
    </row>
    <row r="2047">
      <c r="B2047" s="3" t="s">
        <v>1420</v>
      </c>
    </row>
    <row r="2048">
      <c r="B2048" s="3" t="s">
        <v>2520</v>
      </c>
    </row>
    <row r="2049">
      <c r="B2049" s="3" t="s">
        <v>1399</v>
      </c>
    </row>
    <row r="2050">
      <c r="B2050" s="3" t="s">
        <v>2521</v>
      </c>
    </row>
    <row r="2051">
      <c r="B2051" s="3" t="s">
        <v>2522</v>
      </c>
    </row>
    <row r="2052">
      <c r="B2052" s="3" t="s">
        <v>1399</v>
      </c>
    </row>
    <row r="2053">
      <c r="B2053" s="3" t="s">
        <v>2523</v>
      </c>
    </row>
    <row r="2054">
      <c r="B2054" s="3" t="s">
        <v>2524</v>
      </c>
    </row>
    <row r="2055">
      <c r="B2055" s="3" t="s">
        <v>2525</v>
      </c>
    </row>
    <row r="2058">
      <c r="B2058" s="3" t="s">
        <v>2526</v>
      </c>
    </row>
    <row r="2060">
      <c r="B2060" s="3" t="s">
        <v>1420</v>
      </c>
    </row>
    <row r="2063">
      <c r="B2063" s="3" t="s">
        <v>2527</v>
      </c>
    </row>
    <row r="2065">
      <c r="B2065" s="3" t="s">
        <v>1420</v>
      </c>
    </row>
    <row r="2066">
      <c r="B2066" s="3" t="s">
        <v>2528</v>
      </c>
    </row>
    <row r="2067">
      <c r="B2067" s="3" t="s">
        <v>2529</v>
      </c>
    </row>
    <row r="2070">
      <c r="B2070" s="3" t="s">
        <v>2530</v>
      </c>
    </row>
    <row r="2072">
      <c r="B2072" s="3" t="s">
        <v>1420</v>
      </c>
    </row>
    <row r="2073">
      <c r="B2073" s="3" t="s">
        <v>2531</v>
      </c>
    </row>
    <row r="2076">
      <c r="B2076" s="3" t="s">
        <v>2532</v>
      </c>
    </row>
    <row r="2078">
      <c r="B2078" s="3" t="s">
        <v>1420</v>
      </c>
    </row>
    <row r="2081">
      <c r="B2081" s="3" t="s">
        <v>2533</v>
      </c>
    </row>
    <row r="2083">
      <c r="B2083" s="3" t="s">
        <v>1420</v>
      </c>
    </row>
    <row r="2086">
      <c r="B2086" s="3" t="s">
        <v>2534</v>
      </c>
    </row>
    <row r="2088">
      <c r="B2088" s="3" t="s">
        <v>1420</v>
      </c>
    </row>
    <row r="2091">
      <c r="B2091" s="3" t="s">
        <v>2535</v>
      </c>
    </row>
    <row r="2093">
      <c r="B2093" s="3" t="s">
        <v>1420</v>
      </c>
    </row>
    <row r="2094">
      <c r="B2094" s="3" t="s">
        <v>2536</v>
      </c>
    </row>
    <row r="2095">
      <c r="B2095" s="3" t="s">
        <v>2537</v>
      </c>
    </row>
    <row r="2098">
      <c r="B2098" s="3" t="s">
        <v>2538</v>
      </c>
    </row>
    <row r="2100">
      <c r="B2100" s="3" t="s">
        <v>1420</v>
      </c>
    </row>
    <row r="2101">
      <c r="B2101" s="3" t="s">
        <v>2536</v>
      </c>
    </row>
    <row r="2102">
      <c r="B2102" s="3" t="s">
        <v>2537</v>
      </c>
    </row>
    <row r="2105">
      <c r="B2105" s="3" t="s">
        <v>2539</v>
      </c>
    </row>
    <row r="2107">
      <c r="B2107" s="3" t="s">
        <v>1420</v>
      </c>
    </row>
    <row r="2108">
      <c r="B2108" s="3" t="s">
        <v>2536</v>
      </c>
    </row>
    <row r="2109">
      <c r="B2109" s="3" t="s">
        <v>2540</v>
      </c>
    </row>
    <row r="2110">
      <c r="B2110" s="3" t="s">
        <v>1399</v>
      </c>
    </row>
    <row r="2111">
      <c r="B2111" s="3" t="s">
        <v>2541</v>
      </c>
    </row>
    <row r="2112">
      <c r="B2112" s="3" t="s">
        <v>2542</v>
      </c>
    </row>
    <row r="2113">
      <c r="B2113" s="3" t="s">
        <v>1399</v>
      </c>
    </row>
    <row r="2114">
      <c r="B2114" s="3" t="s">
        <v>2543</v>
      </c>
    </row>
    <row r="2115">
      <c r="B2115" s="3" t="s">
        <v>2544</v>
      </c>
    </row>
    <row r="2116">
      <c r="B2116" s="3" t="s">
        <v>2545</v>
      </c>
    </row>
    <row r="2117">
      <c r="B2117" s="3" t="s">
        <v>1399</v>
      </c>
    </row>
    <row r="2118">
      <c r="B2118" s="3" t="s">
        <v>1859</v>
      </c>
    </row>
    <row r="2121">
      <c r="B2121" s="3" t="s">
        <v>2546</v>
      </c>
    </row>
    <row r="2123">
      <c r="B2123" s="3" t="s">
        <v>1420</v>
      </c>
    </row>
    <row r="2124">
      <c r="B2124" s="3" t="s">
        <v>2547</v>
      </c>
    </row>
    <row r="2125">
      <c r="B2125" s="3" t="s">
        <v>2548</v>
      </c>
    </row>
    <row r="2126">
      <c r="B2126" s="3" t="s">
        <v>1399</v>
      </c>
    </row>
    <row r="2127">
      <c r="B2127" s="3" t="s">
        <v>2549</v>
      </c>
    </row>
    <row r="2128">
      <c r="B2128" s="3" t="s">
        <v>2550</v>
      </c>
    </row>
    <row r="2129">
      <c r="B2129" s="3" t="s">
        <v>2551</v>
      </c>
    </row>
    <row r="2130">
      <c r="B2130" s="3" t="s">
        <v>2552</v>
      </c>
    </row>
    <row r="2131">
      <c r="B2131" s="3" t="s">
        <v>1399</v>
      </c>
    </row>
    <row r="2132">
      <c r="B2132" s="3" t="s">
        <v>2553</v>
      </c>
    </row>
    <row r="2133">
      <c r="B2133" s="3" t="s">
        <v>2554</v>
      </c>
    </row>
    <row r="2136">
      <c r="B2136" s="3" t="s">
        <v>2555</v>
      </c>
    </row>
    <row r="2138">
      <c r="B2138" s="3" t="s">
        <v>1420</v>
      </c>
    </row>
    <row r="2139">
      <c r="B2139" s="3" t="s">
        <v>2556</v>
      </c>
    </row>
    <row r="2140">
      <c r="B2140" s="3" t="s">
        <v>2536</v>
      </c>
    </row>
    <row r="2141">
      <c r="B2141" s="3" t="s">
        <v>2557</v>
      </c>
    </row>
    <row r="2144">
      <c r="B2144" s="3" t="s">
        <v>2558</v>
      </c>
    </row>
    <row r="2146">
      <c r="B2146" s="3" t="s">
        <v>1420</v>
      </c>
    </row>
    <row r="2149">
      <c r="B2149" s="3" t="s">
        <v>2559</v>
      </c>
    </row>
    <row r="2151">
      <c r="B2151" s="3" t="s">
        <v>1420</v>
      </c>
    </row>
    <row r="2154">
      <c r="B2154" s="3" t="s">
        <v>2560</v>
      </c>
    </row>
    <row r="2156">
      <c r="B2156" s="3" t="s">
        <v>1420</v>
      </c>
    </row>
    <row r="2157">
      <c r="B2157" s="3" t="s">
        <v>2561</v>
      </c>
    </row>
    <row r="2160">
      <c r="B2160" s="3" t="s">
        <v>2562</v>
      </c>
    </row>
    <row r="2162">
      <c r="B2162" s="3" t="s">
        <v>1420</v>
      </c>
    </row>
    <row r="2165">
      <c r="B2165" s="3" t="s">
        <v>2563</v>
      </c>
    </row>
    <row r="2167">
      <c r="B2167" s="3" t="s">
        <v>1420</v>
      </c>
    </row>
    <row r="2168">
      <c r="B2168" s="3" t="s">
        <v>2564</v>
      </c>
    </row>
    <row r="2171">
      <c r="B2171" s="3" t="s">
        <v>2565</v>
      </c>
    </row>
    <row r="2173">
      <c r="B2173" s="3" t="s">
        <v>1420</v>
      </c>
    </row>
    <row r="2176">
      <c r="B2176" s="3" t="s">
        <v>2566</v>
      </c>
    </row>
    <row r="2178">
      <c r="B2178" s="3" t="s">
        <v>1420</v>
      </c>
    </row>
    <row r="2179">
      <c r="B2179" s="3" t="s">
        <v>2567</v>
      </c>
    </row>
    <row r="2182">
      <c r="B2182" s="3" t="s">
        <v>2568</v>
      </c>
    </row>
    <row r="2184">
      <c r="B2184" s="3" t="s">
        <v>1420</v>
      </c>
    </row>
    <row r="2185">
      <c r="B2185" s="3" t="s">
        <v>2569</v>
      </c>
    </row>
    <row r="2188">
      <c r="B2188" s="3" t="s">
        <v>2570</v>
      </c>
    </row>
    <row r="2190">
      <c r="B2190" s="3" t="s">
        <v>1420</v>
      </c>
    </row>
    <row r="2191">
      <c r="B2191" s="3" t="s">
        <v>2571</v>
      </c>
    </row>
    <row r="2194">
      <c r="B2194" s="3" t="s">
        <v>2572</v>
      </c>
    </row>
    <row r="2196">
      <c r="B2196" s="3" t="s">
        <v>1420</v>
      </c>
    </row>
    <row r="2199">
      <c r="B2199" s="3" t="s">
        <v>2573</v>
      </c>
    </row>
    <row r="2201">
      <c r="B2201" s="3" t="s">
        <v>1420</v>
      </c>
    </row>
    <row r="2204">
      <c r="B2204" s="3" t="s">
        <v>2574</v>
      </c>
    </row>
    <row r="2206">
      <c r="B2206" s="3" t="s">
        <v>1420</v>
      </c>
    </row>
    <row r="2207">
      <c r="B2207" s="3" t="s">
        <v>2575</v>
      </c>
    </row>
    <row r="2208">
      <c r="B2208" s="3" t="s">
        <v>2576</v>
      </c>
    </row>
    <row r="2209">
      <c r="B2209" s="3" t="s">
        <v>2577</v>
      </c>
    </row>
    <row r="2210">
      <c r="B2210" s="3" t="s">
        <v>2578</v>
      </c>
    </row>
    <row r="2211">
      <c r="B2211" s="3" t="s">
        <v>1399</v>
      </c>
    </row>
    <row r="2212">
      <c r="B2212" s="3" t="s">
        <v>2579</v>
      </c>
    </row>
    <row r="2213">
      <c r="B2213" s="3" t="s">
        <v>2580</v>
      </c>
    </row>
    <row r="2216">
      <c r="B2216" s="3" t="s">
        <v>2581</v>
      </c>
    </row>
    <row r="2218">
      <c r="B2218" s="3" t="s">
        <v>1420</v>
      </c>
    </row>
    <row r="2219">
      <c r="B2219" s="3" t="s">
        <v>2582</v>
      </c>
    </row>
    <row r="2220">
      <c r="B2220" s="3" t="s">
        <v>2583</v>
      </c>
    </row>
    <row r="2221">
      <c r="B2221" s="3" t="s">
        <v>1399</v>
      </c>
    </row>
    <row r="2222">
      <c r="B2222" s="3" t="s">
        <v>2584</v>
      </c>
    </row>
    <row r="2223">
      <c r="B2223" s="3" t="s">
        <v>2585</v>
      </c>
    </row>
    <row r="2224">
      <c r="B2224" s="3" t="s">
        <v>1399</v>
      </c>
    </row>
    <row r="2225">
      <c r="B2225" s="3" t="s">
        <v>2586</v>
      </c>
    </row>
    <row r="2226">
      <c r="B2226" s="3" t="s">
        <v>2545</v>
      </c>
    </row>
    <row r="2227">
      <c r="B2227" s="3" t="s">
        <v>2587</v>
      </c>
    </row>
    <row r="2228">
      <c r="B2228" s="3" t="s">
        <v>1399</v>
      </c>
    </row>
    <row r="2229">
      <c r="B2229" s="3" t="s">
        <v>2588</v>
      </c>
    </row>
    <row r="2230">
      <c r="B2230" s="3" t="s">
        <v>2589</v>
      </c>
    </row>
    <row r="2231">
      <c r="B2231" s="3" t="s">
        <v>2590</v>
      </c>
    </row>
    <row r="2232">
      <c r="B2232" s="3" t="s">
        <v>2591</v>
      </c>
    </row>
    <row r="2233">
      <c r="B2233" s="3" t="s">
        <v>2584</v>
      </c>
    </row>
    <row r="2234">
      <c r="B2234" s="3" t="s">
        <v>2536</v>
      </c>
    </row>
    <row r="2235">
      <c r="B2235" s="3" t="s">
        <v>2592</v>
      </c>
    </row>
    <row r="2236">
      <c r="B2236" s="3" t="s">
        <v>2589</v>
      </c>
    </row>
    <row r="2239">
      <c r="B2239" s="3" t="s">
        <v>2593</v>
      </c>
    </row>
    <row r="2241">
      <c r="B2241" s="3" t="s">
        <v>1420</v>
      </c>
    </row>
    <row r="2242">
      <c r="B2242" s="3" t="s">
        <v>2594</v>
      </c>
    </row>
    <row r="2243">
      <c r="B2243" s="3" t="s">
        <v>2595</v>
      </c>
    </row>
    <row r="2244">
      <c r="B2244" s="3" t="s">
        <v>2596</v>
      </c>
    </row>
    <row r="2245">
      <c r="B2245" s="3" t="s">
        <v>2597</v>
      </c>
    </row>
    <row r="2248">
      <c r="B2248" s="3" t="s">
        <v>2598</v>
      </c>
    </row>
    <row r="2250">
      <c r="B2250" s="3" t="s">
        <v>1420</v>
      </c>
    </row>
    <row r="2251">
      <c r="B2251" s="3" t="s">
        <v>2599</v>
      </c>
    </row>
    <row r="2252">
      <c r="B2252" s="3" t="s">
        <v>2584</v>
      </c>
    </row>
    <row r="2253">
      <c r="B2253" s="3" t="s">
        <v>2600</v>
      </c>
    </row>
    <row r="2254">
      <c r="B2254" s="3" t="s">
        <v>1399</v>
      </c>
    </row>
    <row r="2255">
      <c r="B2255" s="3" t="s">
        <v>2601</v>
      </c>
    </row>
    <row r="2256">
      <c r="B2256" s="3" t="s">
        <v>2602</v>
      </c>
    </row>
    <row r="2257">
      <c r="B2257" s="3" t="s">
        <v>2603</v>
      </c>
    </row>
    <row r="2258">
      <c r="B2258" s="3" t="s">
        <v>1399</v>
      </c>
    </row>
    <row r="2259">
      <c r="B2259" s="3" t="s">
        <v>2584</v>
      </c>
    </row>
    <row r="2260">
      <c r="B2260" s="3" t="s">
        <v>2604</v>
      </c>
    </row>
    <row r="2261">
      <c r="B2261" s="3" t="s">
        <v>1399</v>
      </c>
    </row>
    <row r="2262">
      <c r="B2262" s="3" t="s">
        <v>2605</v>
      </c>
    </row>
    <row r="2263">
      <c r="B2263" s="3" t="s">
        <v>2606</v>
      </c>
    </row>
    <row r="2266">
      <c r="B2266" s="3" t="s">
        <v>2607</v>
      </c>
    </row>
    <row r="2268">
      <c r="B2268" s="3" t="s">
        <v>1420</v>
      </c>
    </row>
    <row r="2271">
      <c r="B2271" s="3" t="s">
        <v>2608</v>
      </c>
    </row>
    <row r="2273">
      <c r="B2273" s="3" t="s">
        <v>1420</v>
      </c>
    </row>
    <row r="2276">
      <c r="B2276" s="3" t="s">
        <v>2609</v>
      </c>
    </row>
    <row r="2278">
      <c r="B2278" s="3" t="s">
        <v>1420</v>
      </c>
    </row>
    <row r="2281">
      <c r="B2281" s="3" t="s">
        <v>2610</v>
      </c>
    </row>
    <row r="2283">
      <c r="B2283" s="3" t="s">
        <v>1420</v>
      </c>
    </row>
    <row r="2286">
      <c r="B2286" s="3" t="s">
        <v>2611</v>
      </c>
    </row>
    <row r="2288">
      <c r="B2288" s="3" t="s">
        <v>1420</v>
      </c>
    </row>
    <row r="2289">
      <c r="B2289" s="3" t="s">
        <v>2612</v>
      </c>
    </row>
    <row r="2290">
      <c r="B2290" s="3" t="s">
        <v>2321</v>
      </c>
    </row>
    <row r="2293">
      <c r="B2293" s="3" t="s">
        <v>2613</v>
      </c>
    </row>
    <row r="2295">
      <c r="B2295" s="3" t="s">
        <v>1420</v>
      </c>
    </row>
    <row r="2298">
      <c r="B2298" s="3" t="s">
        <v>2614</v>
      </c>
    </row>
    <row r="2300">
      <c r="B2300" s="3" t="s">
        <v>1420</v>
      </c>
    </row>
    <row r="2303">
      <c r="B2303" s="3" t="s">
        <v>2615</v>
      </c>
    </row>
    <row r="2305">
      <c r="B2305" s="3" t="s">
        <v>1420</v>
      </c>
    </row>
    <row r="2306">
      <c r="B2306" s="3" t="s">
        <v>2616</v>
      </c>
    </row>
    <row r="2307">
      <c r="B2307" s="3" t="s">
        <v>2617</v>
      </c>
    </row>
    <row r="2308">
      <c r="B2308" s="3" t="s">
        <v>2618</v>
      </c>
    </row>
    <row r="2309">
      <c r="B2309" s="3" t="s">
        <v>2619</v>
      </c>
    </row>
    <row r="2312">
      <c r="B2312" s="3" t="s">
        <v>2620</v>
      </c>
    </row>
    <row r="2314">
      <c r="B2314" s="3" t="s">
        <v>1420</v>
      </c>
    </row>
    <row r="2317">
      <c r="B2317" s="3" t="s">
        <v>2621</v>
      </c>
    </row>
    <row r="2319">
      <c r="B2319" s="3" t="s">
        <v>1420</v>
      </c>
    </row>
    <row r="2320">
      <c r="B2320" s="3" t="s">
        <v>2612</v>
      </c>
    </row>
    <row r="2321">
      <c r="B2321" s="3" t="s">
        <v>2622</v>
      </c>
    </row>
    <row r="2322">
      <c r="B2322" s="3" t="s">
        <v>1399</v>
      </c>
    </row>
    <row r="2323">
      <c r="B2323" s="3" t="s">
        <v>2623</v>
      </c>
    </row>
    <row r="2326">
      <c r="B2326" s="3" t="s">
        <v>2624</v>
      </c>
    </row>
    <row r="2328">
      <c r="B2328" s="3" t="s">
        <v>1420</v>
      </c>
    </row>
    <row r="2329">
      <c r="B2329" s="3" t="s">
        <v>2625</v>
      </c>
    </row>
    <row r="2330">
      <c r="B2330" s="3" t="s">
        <v>2626</v>
      </c>
    </row>
    <row r="2331">
      <c r="B2331" s="3" t="s">
        <v>1399</v>
      </c>
    </row>
    <row r="2332">
      <c r="B2332" s="3" t="s">
        <v>2627</v>
      </c>
    </row>
    <row r="2333">
      <c r="B2333" s="3" t="s">
        <v>2628</v>
      </c>
    </row>
    <row r="2334">
      <c r="B2334" s="3" t="s">
        <v>2629</v>
      </c>
    </row>
    <row r="2335">
      <c r="B2335" s="3" t="s">
        <v>1399</v>
      </c>
    </row>
    <row r="2336">
      <c r="B2336" s="3" t="s">
        <v>2630</v>
      </c>
    </row>
    <row r="2337">
      <c r="B2337" s="3" t="s">
        <v>2631</v>
      </c>
    </row>
    <row r="2338">
      <c r="B2338" s="3" t="s">
        <v>2632</v>
      </c>
    </row>
    <row r="2339">
      <c r="B2339" s="3" t="s">
        <v>2633</v>
      </c>
    </row>
    <row r="2340">
      <c r="B2340" s="3" t="s">
        <v>2338</v>
      </c>
    </row>
    <row r="2343">
      <c r="B2343" s="3" t="s">
        <v>2634</v>
      </c>
    </row>
    <row r="2345">
      <c r="B2345" s="3" t="s">
        <v>1420</v>
      </c>
    </row>
    <row r="2346">
      <c r="B2346" s="3" t="s">
        <v>2635</v>
      </c>
    </row>
    <row r="2347">
      <c r="B2347" s="3" t="s">
        <v>2636</v>
      </c>
    </row>
    <row r="2348">
      <c r="B2348" s="3" t="s">
        <v>1399</v>
      </c>
    </row>
    <row r="2349">
      <c r="B2349" s="3" t="s">
        <v>2637</v>
      </c>
    </row>
    <row r="2350">
      <c r="B2350" s="3" t="s">
        <v>2638</v>
      </c>
    </row>
    <row r="2351">
      <c r="B2351" s="3" t="s">
        <v>2639</v>
      </c>
    </row>
    <row r="2352">
      <c r="B2352" s="3" t="s">
        <v>1399</v>
      </c>
    </row>
    <row r="2353">
      <c r="B2353" s="3" t="s">
        <v>2640</v>
      </c>
    </row>
    <row r="2354">
      <c r="B2354" s="3" t="s">
        <v>2641</v>
      </c>
    </row>
    <row r="2355">
      <c r="B2355" s="3" t="s">
        <v>2642</v>
      </c>
    </row>
    <row r="2356">
      <c r="B2356" s="3" t="s">
        <v>1399</v>
      </c>
    </row>
    <row r="2357">
      <c r="B2357" s="3" t="s">
        <v>2643</v>
      </c>
    </row>
    <row r="2358">
      <c r="B2358" s="3" t="s">
        <v>2310</v>
      </c>
    </row>
    <row r="2359">
      <c r="B2359" s="3" t="s">
        <v>2644</v>
      </c>
    </row>
    <row r="2360">
      <c r="B2360" s="3" t="s">
        <v>2645</v>
      </c>
    </row>
    <row r="2361">
      <c r="B2361" s="3" t="s">
        <v>2646</v>
      </c>
    </row>
    <row r="2362">
      <c r="B2362" s="3" t="s">
        <v>2647</v>
      </c>
    </row>
    <row r="2363">
      <c r="B2363" s="3" t="s">
        <v>1399</v>
      </c>
    </row>
    <row r="2364">
      <c r="B2364" s="3" t="s">
        <v>2648</v>
      </c>
    </row>
    <row r="2365">
      <c r="B2365" s="3" t="s">
        <v>2649</v>
      </c>
    </row>
    <row r="2366">
      <c r="B2366" s="3" t="s">
        <v>2650</v>
      </c>
    </row>
    <row r="2367">
      <c r="B2367" s="3" t="s">
        <v>2651</v>
      </c>
    </row>
    <row r="2368">
      <c r="B2368" s="3" t="s">
        <v>2652</v>
      </c>
    </row>
    <row r="2369">
      <c r="B2369" s="3" t="s">
        <v>2653</v>
      </c>
    </row>
    <row r="2370">
      <c r="B2370" s="3" t="s">
        <v>1399</v>
      </c>
    </row>
    <row r="2371">
      <c r="B2371" s="3" t="s">
        <v>2654</v>
      </c>
    </row>
    <row r="2374">
      <c r="B2374" s="3" t="s">
        <v>2655</v>
      </c>
    </row>
    <row r="2376">
      <c r="B2376" s="3" t="s">
        <v>1420</v>
      </c>
    </row>
    <row r="2377">
      <c r="B2377" s="3" t="s">
        <v>2656</v>
      </c>
    </row>
    <row r="2378">
      <c r="B2378" s="3" t="s">
        <v>2657</v>
      </c>
    </row>
    <row r="2379">
      <c r="B2379" s="3" t="s">
        <v>1399</v>
      </c>
    </row>
    <row r="2380">
      <c r="B2380" s="3" t="s">
        <v>2658</v>
      </c>
    </row>
    <row r="2381">
      <c r="B2381" s="3" t="s">
        <v>1676</v>
      </c>
    </row>
    <row r="2382">
      <c r="B2382" s="3" t="s">
        <v>2357</v>
      </c>
    </row>
    <row r="2383">
      <c r="B2383" s="3" t="s">
        <v>2659</v>
      </c>
    </row>
    <row r="2384">
      <c r="B2384" s="3" t="s">
        <v>1399</v>
      </c>
    </row>
    <row r="2385">
      <c r="B2385" s="3" t="s">
        <v>2660</v>
      </c>
    </row>
    <row r="2386">
      <c r="B2386" s="3" t="s">
        <v>2661</v>
      </c>
    </row>
    <row r="2387">
      <c r="B2387" s="3" t="s">
        <v>1399</v>
      </c>
    </row>
    <row r="2388">
      <c r="B2388" s="3" t="s">
        <v>2662</v>
      </c>
    </row>
    <row r="2389">
      <c r="B2389" s="3" t="s">
        <v>2663</v>
      </c>
    </row>
    <row r="2390">
      <c r="B2390" s="3" t="s">
        <v>2664</v>
      </c>
    </row>
    <row r="2391">
      <c r="B2391" s="3" t="s">
        <v>1399</v>
      </c>
    </row>
    <row r="2392">
      <c r="B2392" s="3" t="s">
        <v>2665</v>
      </c>
    </row>
    <row r="2393">
      <c r="B2393" s="3" t="s">
        <v>2666</v>
      </c>
    </row>
    <row r="2394">
      <c r="B2394" s="3" t="s">
        <v>1399</v>
      </c>
    </row>
    <row r="2395">
      <c r="B2395" s="3" t="s">
        <v>2667</v>
      </c>
    </row>
    <row r="2396">
      <c r="B2396" s="3" t="s">
        <v>2668</v>
      </c>
    </row>
    <row r="2397">
      <c r="B2397" s="3" t="s">
        <v>2669</v>
      </c>
    </row>
    <row r="2398">
      <c r="B2398" s="3" t="s">
        <v>2670</v>
      </c>
    </row>
    <row r="2399">
      <c r="B2399" s="3" t="s">
        <v>1399</v>
      </c>
    </row>
    <row r="2400">
      <c r="B2400" s="3" t="s">
        <v>2671</v>
      </c>
    </row>
    <row r="2401">
      <c r="B2401" s="3" t="s">
        <v>2672</v>
      </c>
    </row>
    <row r="2402">
      <c r="B2402" s="3" t="s">
        <v>2673</v>
      </c>
    </row>
    <row r="2403">
      <c r="B2403" s="3" t="s">
        <v>2674</v>
      </c>
    </row>
    <row r="2404">
      <c r="B2404" s="3" t="s">
        <v>2675</v>
      </c>
    </row>
    <row r="2405">
      <c r="B2405" s="3" t="s">
        <v>2676</v>
      </c>
    </row>
    <row r="2406">
      <c r="B2406" s="3" t="s">
        <v>1399</v>
      </c>
    </row>
    <row r="2407">
      <c r="B2407" s="3" t="s">
        <v>2677</v>
      </c>
    </row>
    <row r="2408">
      <c r="B2408" s="3" t="s">
        <v>2678</v>
      </c>
    </row>
    <row r="2409">
      <c r="B2409" s="3" t="s">
        <v>2338</v>
      </c>
    </row>
    <row r="2410">
      <c r="B2410" s="3" t="s">
        <v>2661</v>
      </c>
    </row>
    <row r="2411">
      <c r="B2411" s="3" t="s">
        <v>1399</v>
      </c>
    </row>
    <row r="2412">
      <c r="B2412" s="3" t="s">
        <v>2547</v>
      </c>
    </row>
    <row r="2413">
      <c r="B2413" s="3" t="s">
        <v>2679</v>
      </c>
    </row>
    <row r="2414">
      <c r="B2414" s="3" t="s">
        <v>2680</v>
      </c>
    </row>
    <row r="2417">
      <c r="B2417" s="3" t="s">
        <v>2681</v>
      </c>
    </row>
    <row r="2419">
      <c r="B2419" s="3" t="s">
        <v>1420</v>
      </c>
    </row>
    <row r="2420">
      <c r="B2420" s="3" t="s">
        <v>2682</v>
      </c>
    </row>
    <row r="2421">
      <c r="B2421" s="3" t="s">
        <v>2683</v>
      </c>
    </row>
    <row r="2422">
      <c r="B2422" s="3" t="s">
        <v>1774</v>
      </c>
    </row>
    <row r="2423">
      <c r="B2423" s="3" t="s">
        <v>1399</v>
      </c>
    </row>
    <row r="2424">
      <c r="B2424" s="3" t="s">
        <v>2684</v>
      </c>
    </row>
    <row r="2425">
      <c r="B2425" s="3" t="s">
        <v>2685</v>
      </c>
    </row>
    <row r="2426">
      <c r="B2426" s="3" t="s">
        <v>1399</v>
      </c>
    </row>
    <row r="2427">
      <c r="B2427" s="3" t="s">
        <v>2686</v>
      </c>
    </row>
    <row r="2428">
      <c r="B2428" s="3" t="s">
        <v>2687</v>
      </c>
    </row>
    <row r="2429">
      <c r="B2429" s="3" t="s">
        <v>1399</v>
      </c>
    </row>
    <row r="2430">
      <c r="B2430" s="3" t="s">
        <v>2688</v>
      </c>
    </row>
    <row r="2431">
      <c r="B2431" s="3" t="s">
        <v>2689</v>
      </c>
    </row>
    <row r="2432">
      <c r="B2432" s="3" t="s">
        <v>2690</v>
      </c>
    </row>
    <row r="2433">
      <c r="B2433" s="3" t="s">
        <v>2691</v>
      </c>
    </row>
    <row r="2434">
      <c r="B2434" s="3" t="s">
        <v>1399</v>
      </c>
    </row>
    <row r="2435">
      <c r="B2435" s="3" t="s">
        <v>2692</v>
      </c>
    </row>
    <row r="2436">
      <c r="B2436" s="3" t="s">
        <v>2693</v>
      </c>
    </row>
    <row r="2437">
      <c r="B2437" s="3" t="s">
        <v>2694</v>
      </c>
    </row>
    <row r="2438">
      <c r="B2438" s="3" t="s">
        <v>1584</v>
      </c>
    </row>
    <row r="2439">
      <c r="B2439" s="3" t="s">
        <v>2695</v>
      </c>
    </row>
    <row r="2440">
      <c r="B2440" s="3" t="s">
        <v>1399</v>
      </c>
    </row>
    <row r="2441">
      <c r="B2441" s="3" t="s">
        <v>2696</v>
      </c>
    </row>
    <row r="2442">
      <c r="B2442" s="3" t="s">
        <v>2697</v>
      </c>
    </row>
    <row r="2443">
      <c r="B2443" s="3" t="s">
        <v>2698</v>
      </c>
    </row>
    <row r="2444">
      <c r="B2444" s="3" t="s">
        <v>1399</v>
      </c>
    </row>
    <row r="2445">
      <c r="B2445" s="3" t="s">
        <v>2699</v>
      </c>
    </row>
    <row r="2446">
      <c r="B2446" s="3" t="s">
        <v>2700</v>
      </c>
    </row>
    <row r="2447">
      <c r="B2447" s="3" t="s">
        <v>2701</v>
      </c>
    </row>
    <row r="2448">
      <c r="B2448" s="3" t="s">
        <v>1399</v>
      </c>
    </row>
    <row r="2449">
      <c r="B2449" s="3" t="s">
        <v>2702</v>
      </c>
    </row>
    <row r="2450">
      <c r="B2450" s="3" t="s">
        <v>2703</v>
      </c>
    </row>
    <row r="2451">
      <c r="B2451" s="3" t="s">
        <v>1638</v>
      </c>
    </row>
    <row r="2454">
      <c r="B2454" s="3" t="s">
        <v>2704</v>
      </c>
    </row>
    <row r="2456">
      <c r="B2456" s="3" t="s">
        <v>1420</v>
      </c>
    </row>
    <row r="2457">
      <c r="B2457" s="3" t="s">
        <v>2705</v>
      </c>
    </row>
    <row r="2458">
      <c r="B2458" s="3" t="s">
        <v>2706</v>
      </c>
    </row>
    <row r="2459">
      <c r="B2459" s="3" t="s">
        <v>2707</v>
      </c>
    </row>
    <row r="2460">
      <c r="B2460" s="3" t="s">
        <v>1399</v>
      </c>
    </row>
    <row r="2461">
      <c r="B2461" s="3" t="s">
        <v>1656</v>
      </c>
    </row>
    <row r="2462">
      <c r="B2462" s="3" t="s">
        <v>2708</v>
      </c>
    </row>
    <row r="2463">
      <c r="B2463" s="3" t="s">
        <v>1399</v>
      </c>
    </row>
    <row r="2464">
      <c r="B2464" s="3" t="s">
        <v>2709</v>
      </c>
    </row>
    <row r="2465">
      <c r="B2465" s="3" t="s">
        <v>2710</v>
      </c>
    </row>
    <row r="2468">
      <c r="B2468" s="3" t="s">
        <v>2711</v>
      </c>
    </row>
    <row r="2470">
      <c r="B2470" s="3" t="s">
        <v>1420</v>
      </c>
    </row>
    <row r="2471">
      <c r="B2471" s="3" t="s">
        <v>2712</v>
      </c>
    </row>
    <row r="2472">
      <c r="B2472" s="3" t="s">
        <v>2713</v>
      </c>
    </row>
    <row r="2473">
      <c r="B2473" s="3" t="s">
        <v>2714</v>
      </c>
    </row>
    <row r="2474">
      <c r="B2474" s="3" t="s">
        <v>1399</v>
      </c>
    </row>
    <row r="2475">
      <c r="B2475" s="3" t="s">
        <v>2715</v>
      </c>
    </row>
    <row r="2476">
      <c r="B2476" s="3" t="s">
        <v>2716</v>
      </c>
    </row>
    <row r="2477">
      <c r="B2477" s="3" t="s">
        <v>2715</v>
      </c>
    </row>
    <row r="2478">
      <c r="B2478" s="3" t="s">
        <v>2717</v>
      </c>
    </row>
    <row r="2479">
      <c r="B2479" s="3" t="s">
        <v>2718</v>
      </c>
    </row>
    <row r="2480">
      <c r="B2480" s="3" t="s">
        <v>2719</v>
      </c>
    </row>
    <row r="2481">
      <c r="B2481" s="3" t="s">
        <v>1399</v>
      </c>
    </row>
    <row r="2482">
      <c r="B2482" s="3" t="s">
        <v>2720</v>
      </c>
    </row>
    <row r="2483">
      <c r="B2483" s="3" t="s">
        <v>2721</v>
      </c>
    </row>
    <row r="2484">
      <c r="B2484" s="3" t="s">
        <v>2722</v>
      </c>
    </row>
    <row r="2485">
      <c r="B2485" s="3" t="s">
        <v>1399</v>
      </c>
    </row>
    <row r="2486">
      <c r="B2486" s="3" t="s">
        <v>2723</v>
      </c>
    </row>
    <row r="2487">
      <c r="B2487" s="3" t="s">
        <v>2724</v>
      </c>
    </row>
    <row r="2488">
      <c r="B2488" s="3" t="s">
        <v>2725</v>
      </c>
    </row>
    <row r="2489">
      <c r="B2489" s="3" t="s">
        <v>1399</v>
      </c>
    </row>
    <row r="2490">
      <c r="B2490" s="3" t="s">
        <v>2726</v>
      </c>
    </row>
    <row r="2491">
      <c r="B2491" s="3" t="s">
        <v>2373</v>
      </c>
    </row>
    <row r="2492">
      <c r="B2492" s="3" t="s">
        <v>1707</v>
      </c>
    </row>
    <row r="2495">
      <c r="B2495" s="3" t="s">
        <v>2727</v>
      </c>
    </row>
    <row r="2497">
      <c r="B2497" s="3" t="s">
        <v>1420</v>
      </c>
    </row>
    <row r="2498">
      <c r="B2498" s="3" t="s">
        <v>2728</v>
      </c>
    </row>
    <row r="2499">
      <c r="B2499" s="3" t="s">
        <v>2729</v>
      </c>
    </row>
    <row r="2500">
      <c r="B2500" s="3" t="s">
        <v>2730</v>
      </c>
    </row>
    <row r="2501">
      <c r="B2501" s="3" t="s">
        <v>1399</v>
      </c>
    </row>
    <row r="2502">
      <c r="B2502" s="3" t="s">
        <v>2731</v>
      </c>
    </row>
    <row r="2503">
      <c r="B2503" s="3" t="s">
        <v>2732</v>
      </c>
    </row>
    <row r="2504">
      <c r="B2504" s="3" t="s">
        <v>2733</v>
      </c>
    </row>
    <row r="2505">
      <c r="B2505" s="3" t="s">
        <v>1399</v>
      </c>
    </row>
    <row r="2506">
      <c r="B2506" s="3" t="s">
        <v>2734</v>
      </c>
    </row>
    <row r="2507">
      <c r="B2507" s="3" t="s">
        <v>2735</v>
      </c>
    </row>
    <row r="2508">
      <c r="B2508" s="3" t="s">
        <v>2736</v>
      </c>
    </row>
    <row r="2509">
      <c r="B2509" s="3" t="s">
        <v>1399</v>
      </c>
    </row>
    <row r="2510">
      <c r="B2510" s="3" t="s">
        <v>2737</v>
      </c>
    </row>
    <row r="2511">
      <c r="B2511" s="3" t="s">
        <v>2738</v>
      </c>
    </row>
    <row r="2514">
      <c r="B2514" s="3" t="s">
        <v>2739</v>
      </c>
    </row>
    <row r="2516">
      <c r="B2516" s="3" t="s">
        <v>1420</v>
      </c>
    </row>
    <row r="2519">
      <c r="B2519" s="3" t="s">
        <v>2740</v>
      </c>
    </row>
    <row r="2521">
      <c r="B2521" s="3" t="s">
        <v>1420</v>
      </c>
    </row>
    <row r="2522">
      <c r="B2522" s="3" t="s">
        <v>2741</v>
      </c>
    </row>
    <row r="2523">
      <c r="B2523" s="3" t="s">
        <v>2742</v>
      </c>
    </row>
    <row r="2524">
      <c r="B2524" s="3" t="s">
        <v>2743</v>
      </c>
    </row>
    <row r="2525">
      <c r="B2525" s="3" t="s">
        <v>2744</v>
      </c>
    </row>
    <row r="2526">
      <c r="B2526" s="3" t="s">
        <v>1399</v>
      </c>
    </row>
    <row r="2527">
      <c r="B2527" s="3" t="s">
        <v>2745</v>
      </c>
    </row>
    <row r="2528">
      <c r="B2528" s="3" t="s">
        <v>2746</v>
      </c>
    </row>
    <row r="2529">
      <c r="B2529" s="3" t="s">
        <v>2747</v>
      </c>
    </row>
    <row r="2530">
      <c r="B2530" s="3" t="s">
        <v>2748</v>
      </c>
    </row>
    <row r="2531">
      <c r="B2531" s="3" t="s">
        <v>2749</v>
      </c>
    </row>
    <row r="2532">
      <c r="B2532" s="3" t="s">
        <v>2750</v>
      </c>
    </row>
    <row r="2533">
      <c r="B2533" s="3" t="s">
        <v>1399</v>
      </c>
    </row>
    <row r="2534">
      <c r="B2534" s="3" t="s">
        <v>2751</v>
      </c>
    </row>
    <row r="2535">
      <c r="B2535" s="3" t="s">
        <v>2752</v>
      </c>
    </row>
    <row r="2536">
      <c r="B2536" s="3" t="s">
        <v>2753</v>
      </c>
    </row>
    <row r="2537">
      <c r="B2537" s="3" t="s">
        <v>2754</v>
      </c>
    </row>
    <row r="2538">
      <c r="B2538" s="3" t="s">
        <v>1399</v>
      </c>
    </row>
    <row r="2539">
      <c r="B2539" s="3" t="s">
        <v>2545</v>
      </c>
    </row>
    <row r="2542">
      <c r="B2542" s="3" t="s">
        <v>2755</v>
      </c>
    </row>
    <row r="2544">
      <c r="B2544" s="3" t="s">
        <v>1420</v>
      </c>
    </row>
    <row r="2545">
      <c r="B2545" s="3" t="s">
        <v>2756</v>
      </c>
    </row>
    <row r="2548">
      <c r="B2548" s="3" t="s">
        <v>2757</v>
      </c>
    </row>
    <row r="2550">
      <c r="B2550" s="3" t="s">
        <v>1420</v>
      </c>
    </row>
    <row r="2551">
      <c r="B2551" s="3" t="s">
        <v>2758</v>
      </c>
    </row>
    <row r="2552">
      <c r="B2552" s="3" t="s">
        <v>2759</v>
      </c>
    </row>
    <row r="2553">
      <c r="B2553" s="3" t="s">
        <v>2760</v>
      </c>
    </row>
    <row r="2554">
      <c r="B2554" s="3" t="s">
        <v>2761</v>
      </c>
    </row>
    <row r="2555">
      <c r="B2555" s="3" t="s">
        <v>2762</v>
      </c>
    </row>
    <row r="2556">
      <c r="B2556" s="3" t="s">
        <v>2763</v>
      </c>
    </row>
    <row r="2559">
      <c r="B2559" s="3" t="s">
        <v>2764</v>
      </c>
    </row>
    <row r="2561">
      <c r="B2561" s="3" t="s">
        <v>1420</v>
      </c>
    </row>
    <row r="2562">
      <c r="B2562" s="3" t="s">
        <v>2765</v>
      </c>
    </row>
    <row r="2563">
      <c r="B2563" s="3" t="s">
        <v>2766</v>
      </c>
    </row>
    <row r="2566">
      <c r="B2566" s="3" t="s">
        <v>2767</v>
      </c>
    </row>
    <row r="2568">
      <c r="B2568" s="3" t="s">
        <v>1420</v>
      </c>
    </row>
    <row r="2571">
      <c r="B2571" s="3" t="s">
        <v>2768</v>
      </c>
    </row>
    <row r="2573">
      <c r="B2573" s="3" t="s">
        <v>1420</v>
      </c>
    </row>
    <row r="2574">
      <c r="B2574" s="3" t="s">
        <v>2769</v>
      </c>
    </row>
    <row r="2577">
      <c r="B2577" s="3" t="s">
        <v>2770</v>
      </c>
    </row>
    <row r="2579">
      <c r="B2579" s="3" t="s">
        <v>1420</v>
      </c>
    </row>
    <row r="2582">
      <c r="B2582" s="3" t="s">
        <v>2771</v>
      </c>
    </row>
    <row r="2584">
      <c r="B2584" s="3" t="s">
        <v>1420</v>
      </c>
    </row>
    <row r="2587">
      <c r="B2587" s="3" t="s">
        <v>2772</v>
      </c>
    </row>
    <row r="2589">
      <c r="B2589" s="3" t="s">
        <v>1420</v>
      </c>
    </row>
    <row r="2592">
      <c r="B2592" s="3" t="s">
        <v>2773</v>
      </c>
    </row>
    <row r="2594">
      <c r="B2594" s="3" t="s">
        <v>1420</v>
      </c>
    </row>
    <row r="2595">
      <c r="B2595" s="3" t="s">
        <v>2774</v>
      </c>
    </row>
    <row r="2596">
      <c r="B2596" s="3" t="s">
        <v>2775</v>
      </c>
    </row>
    <row r="2597">
      <c r="B2597" s="3" t="s">
        <v>2776</v>
      </c>
    </row>
    <row r="2598">
      <c r="B2598" s="3" t="s">
        <v>2777</v>
      </c>
    </row>
    <row r="2599">
      <c r="B2599" s="3" t="s">
        <v>2778</v>
      </c>
    </row>
    <row r="2600">
      <c r="B2600" s="3" t="s">
        <v>2779</v>
      </c>
    </row>
    <row r="2601">
      <c r="B2601" s="3" t="s">
        <v>2780</v>
      </c>
    </row>
    <row r="2602">
      <c r="B2602" s="3" t="s">
        <v>2781</v>
      </c>
    </row>
    <row r="2603">
      <c r="B2603" s="3" t="s">
        <v>2782</v>
      </c>
    </row>
    <row r="2604">
      <c r="B2604" s="3" t="s">
        <v>2783</v>
      </c>
    </row>
    <row r="2605">
      <c r="B2605" s="3" t="s">
        <v>2784</v>
      </c>
    </row>
    <row r="2606">
      <c r="B2606" s="3" t="s">
        <v>2785</v>
      </c>
    </row>
    <row r="2607">
      <c r="B2607" s="3" t="s">
        <v>2786</v>
      </c>
    </row>
    <row r="2608">
      <c r="B2608" s="3" t="s">
        <v>2787</v>
      </c>
    </row>
    <row r="2609">
      <c r="B2609" s="3" t="s">
        <v>2788</v>
      </c>
    </row>
    <row r="2610">
      <c r="B2610" s="3" t="s">
        <v>2789</v>
      </c>
    </row>
    <row r="2611">
      <c r="B2611" s="3" t="s">
        <v>2790</v>
      </c>
    </row>
    <row r="2612">
      <c r="B2612" s="3" t="s">
        <v>2791</v>
      </c>
    </row>
    <row r="2613">
      <c r="B2613" s="3" t="s">
        <v>2792</v>
      </c>
    </row>
    <row r="2614">
      <c r="B2614" s="3" t="s">
        <v>2793</v>
      </c>
    </row>
    <row r="2615">
      <c r="B2615" s="3" t="s">
        <v>2794</v>
      </c>
    </row>
    <row r="2616">
      <c r="B2616" s="3" t="s">
        <v>2795</v>
      </c>
    </row>
    <row r="2617">
      <c r="B2617" s="3" t="s">
        <v>2796</v>
      </c>
    </row>
    <row r="2618">
      <c r="B2618" s="3" t="s">
        <v>2797</v>
      </c>
    </row>
    <row r="2619">
      <c r="B2619" s="3" t="s">
        <v>2798</v>
      </c>
    </row>
    <row r="2620">
      <c r="B2620" s="3" t="s">
        <v>2799</v>
      </c>
    </row>
    <row r="2621">
      <c r="B2621" s="3" t="s">
        <v>2800</v>
      </c>
    </row>
    <row r="2622">
      <c r="B2622" s="3" t="s">
        <v>2801</v>
      </c>
    </row>
    <row r="2623">
      <c r="B2623" s="3" t="s">
        <v>2802</v>
      </c>
    </row>
    <row r="2624">
      <c r="B2624" s="3" t="s">
        <v>2803</v>
      </c>
    </row>
    <row r="2625">
      <c r="B2625" s="3" t="s">
        <v>2804</v>
      </c>
    </row>
    <row r="2626">
      <c r="B2626" s="3" t="s">
        <v>2805</v>
      </c>
    </row>
    <row r="2627">
      <c r="B2627" s="3" t="s">
        <v>2806</v>
      </c>
    </row>
    <row r="2628">
      <c r="B2628" s="3" t="s">
        <v>2807</v>
      </c>
    </row>
    <row r="2629">
      <c r="B2629" s="3" t="s">
        <v>2808</v>
      </c>
    </row>
    <row r="2630">
      <c r="B2630" s="3" t="s">
        <v>2809</v>
      </c>
    </row>
    <row r="2631">
      <c r="B2631" s="3" t="s">
        <v>2810</v>
      </c>
    </row>
    <row r="2634">
      <c r="B2634" s="3" t="s">
        <v>2811</v>
      </c>
    </row>
    <row r="2636">
      <c r="B2636" s="3" t="s">
        <v>1420</v>
      </c>
    </row>
    <row r="2637">
      <c r="B2637" s="3" t="s">
        <v>2812</v>
      </c>
    </row>
    <row r="2640">
      <c r="B2640" s="3" t="s">
        <v>2813</v>
      </c>
    </row>
    <row r="2642">
      <c r="B2642" s="3" t="s">
        <v>1420</v>
      </c>
    </row>
    <row r="2643">
      <c r="B2643" s="3" t="s">
        <v>2814</v>
      </c>
    </row>
    <row r="2646">
      <c r="B2646" s="3" t="s">
        <v>2815</v>
      </c>
    </row>
    <row r="2648">
      <c r="B2648" s="3" t="s">
        <v>1420</v>
      </c>
    </row>
    <row r="2649">
      <c r="B2649" s="3" t="s">
        <v>2816</v>
      </c>
    </row>
    <row r="2650">
      <c r="B2650" s="3" t="s">
        <v>2817</v>
      </c>
    </row>
    <row r="2651">
      <c r="B2651" s="3" t="s">
        <v>2808</v>
      </c>
    </row>
    <row r="2652">
      <c r="B2652" s="3" t="s">
        <v>2818</v>
      </c>
    </row>
    <row r="2655">
      <c r="B2655" s="3" t="s">
        <v>2819</v>
      </c>
    </row>
    <row r="2657">
      <c r="B2657" s="3" t="s">
        <v>1420</v>
      </c>
    </row>
    <row r="2658">
      <c r="B2658" s="3" t="s">
        <v>2820</v>
      </c>
    </row>
    <row r="2659">
      <c r="B2659" s="3" t="s">
        <v>2821</v>
      </c>
    </row>
    <row r="2662">
      <c r="B2662" s="3" t="s">
        <v>2822</v>
      </c>
    </row>
    <row r="2664">
      <c r="B2664" s="3" t="s">
        <v>1420</v>
      </c>
    </row>
    <row r="2665">
      <c r="B2665" s="3" t="s">
        <v>2823</v>
      </c>
    </row>
    <row r="2668">
      <c r="B2668" s="3" t="s">
        <v>2824</v>
      </c>
    </row>
    <row r="2670">
      <c r="B2670" s="3" t="s">
        <v>1420</v>
      </c>
    </row>
    <row r="2671">
      <c r="B2671" s="3" t="s">
        <v>2825</v>
      </c>
    </row>
    <row r="2672">
      <c r="B2672" s="3" t="s">
        <v>2826</v>
      </c>
    </row>
    <row r="2675">
      <c r="B2675" s="3" t="s">
        <v>2827</v>
      </c>
    </row>
    <row r="2677">
      <c r="B2677" s="3" t="s">
        <v>1420</v>
      </c>
    </row>
    <row r="2678">
      <c r="B2678" s="3" t="s">
        <v>2828</v>
      </c>
    </row>
    <row r="2679">
      <c r="B2679" s="3" t="s">
        <v>2829</v>
      </c>
    </row>
    <row r="2680">
      <c r="B2680" s="3" t="s">
        <v>2830</v>
      </c>
    </row>
    <row r="2681">
      <c r="B2681" s="3" t="s">
        <v>2831</v>
      </c>
    </row>
    <row r="2684">
      <c r="B2684" s="3" t="s">
        <v>2832</v>
      </c>
    </row>
    <row r="2686">
      <c r="B2686" s="3" t="s">
        <v>1420</v>
      </c>
    </row>
    <row r="2687">
      <c r="B2687" s="3" t="s">
        <v>2833</v>
      </c>
    </row>
    <row r="2688">
      <c r="B2688" s="3" t="s">
        <v>2834</v>
      </c>
    </row>
    <row r="2691">
      <c r="B2691" s="3" t="s">
        <v>2835</v>
      </c>
    </row>
    <row r="2693">
      <c r="B2693" s="3" t="s">
        <v>1420</v>
      </c>
    </row>
    <row r="2696">
      <c r="B2696" s="3" t="s">
        <v>2836</v>
      </c>
    </row>
    <row r="2698">
      <c r="B2698" s="3" t="s">
        <v>1420</v>
      </c>
    </row>
    <row r="2699">
      <c r="B2699" s="3" t="s">
        <v>2837</v>
      </c>
    </row>
    <row r="2700">
      <c r="B2700" s="3" t="s">
        <v>2838</v>
      </c>
    </row>
    <row r="2703">
      <c r="B2703" s="3" t="s">
        <v>2839</v>
      </c>
    </row>
    <row r="2705">
      <c r="B2705" s="3" t="s">
        <v>1420</v>
      </c>
    </row>
    <row r="2708">
      <c r="B2708" s="3" t="s">
        <v>2840</v>
      </c>
    </row>
    <row r="2710">
      <c r="B2710" s="3" t="s">
        <v>1420</v>
      </c>
    </row>
    <row r="2711">
      <c r="B2711" s="3" t="s">
        <v>2841</v>
      </c>
    </row>
    <row r="2712">
      <c r="B2712" s="3" t="s">
        <v>2842</v>
      </c>
    </row>
    <row r="2713">
      <c r="B2713" s="3" t="s">
        <v>2843</v>
      </c>
    </row>
    <row r="2714">
      <c r="B2714" s="3" t="s">
        <v>2837</v>
      </c>
    </row>
    <row r="2715">
      <c r="B2715" s="3" t="s">
        <v>2844</v>
      </c>
    </row>
    <row r="2718">
      <c r="B2718" s="3" t="s">
        <v>2845</v>
      </c>
    </row>
    <row r="2720">
      <c r="B2720" s="3" t="s">
        <v>1420</v>
      </c>
    </row>
    <row r="2721">
      <c r="B2721" s="3" t="s">
        <v>2846</v>
      </c>
    </row>
    <row r="2722">
      <c r="B2722" s="3" t="s">
        <v>2847</v>
      </c>
    </row>
    <row r="2725">
      <c r="B2725" s="3" t="s">
        <v>2848</v>
      </c>
    </row>
    <row r="2727">
      <c r="B2727" s="3" t="s">
        <v>1420</v>
      </c>
    </row>
    <row r="2728">
      <c r="B2728" s="3" t="s">
        <v>2849</v>
      </c>
    </row>
    <row r="2731">
      <c r="B2731" s="3" t="s">
        <v>2850</v>
      </c>
    </row>
    <row r="2733">
      <c r="B2733" s="3" t="s">
        <v>1420</v>
      </c>
    </row>
    <row r="2734">
      <c r="B2734" s="3" t="s">
        <v>2851</v>
      </c>
    </row>
    <row r="2735">
      <c r="B2735" s="3" t="s">
        <v>2852</v>
      </c>
    </row>
    <row r="2736">
      <c r="B2736" s="3" t="s">
        <v>2853</v>
      </c>
    </row>
    <row r="2739">
      <c r="B2739" s="3" t="s">
        <v>2854</v>
      </c>
    </row>
    <row r="2741">
      <c r="B2741" s="3" t="s">
        <v>1420</v>
      </c>
    </row>
    <row r="2742">
      <c r="B2742" s="3" t="s">
        <v>2855</v>
      </c>
    </row>
    <row r="2743">
      <c r="B2743" s="3" t="s">
        <v>2856</v>
      </c>
    </row>
    <row r="2746">
      <c r="B2746" s="3" t="s">
        <v>2857</v>
      </c>
    </row>
    <row r="2748">
      <c r="B2748" s="3" t="s">
        <v>1420</v>
      </c>
    </row>
    <row r="2749">
      <c r="B2749" s="3" t="s">
        <v>2858</v>
      </c>
    </row>
    <row r="2752">
      <c r="B2752" s="3" t="s">
        <v>2854</v>
      </c>
    </row>
    <row r="2754">
      <c r="B2754" s="3" t="s">
        <v>1420</v>
      </c>
    </row>
    <row r="2757">
      <c r="B2757" s="3" t="s">
        <v>2859</v>
      </c>
    </row>
    <row r="2759">
      <c r="B2759" s="3" t="s">
        <v>1420</v>
      </c>
    </row>
    <row r="2760">
      <c r="B2760" s="3" t="s">
        <v>2860</v>
      </c>
    </row>
    <row r="2761">
      <c r="B2761" s="3" t="s">
        <v>2861</v>
      </c>
    </row>
    <row r="2762">
      <c r="B2762" s="3" t="s">
        <v>2862</v>
      </c>
    </row>
    <row r="2763">
      <c r="B2763" s="3" t="s">
        <v>2863</v>
      </c>
    </row>
    <row r="2764">
      <c r="B2764" s="3" t="s">
        <v>2864</v>
      </c>
    </row>
    <row r="2765">
      <c r="B2765" s="3" t="s">
        <v>2865</v>
      </c>
    </row>
    <row r="2766">
      <c r="B2766" s="3" t="s">
        <v>2866</v>
      </c>
    </row>
    <row r="2767">
      <c r="B2767" s="3" t="s">
        <v>2855</v>
      </c>
    </row>
    <row r="2768">
      <c r="B2768" s="3" t="s">
        <v>2867</v>
      </c>
    </row>
    <row r="2769">
      <c r="B2769" s="3" t="s">
        <v>2868</v>
      </c>
    </row>
    <row r="2770">
      <c r="B2770" s="3" t="s">
        <v>2869</v>
      </c>
    </row>
    <row r="2773">
      <c r="B2773" s="3" t="s">
        <v>2870</v>
      </c>
    </row>
    <row r="2775">
      <c r="B2775" s="3" t="s">
        <v>1420</v>
      </c>
    </row>
    <row r="2776">
      <c r="B2776" s="3" t="s">
        <v>2871</v>
      </c>
    </row>
    <row r="2777">
      <c r="B2777" s="3" t="s">
        <v>2872</v>
      </c>
    </row>
    <row r="2778">
      <c r="B2778" s="3" t="s">
        <v>2873</v>
      </c>
    </row>
    <row r="2779">
      <c r="B2779" s="3" t="s">
        <v>2874</v>
      </c>
    </row>
    <row r="2782">
      <c r="B2782" s="3" t="s">
        <v>2875</v>
      </c>
    </row>
    <row r="2784">
      <c r="B2784" s="3" t="s">
        <v>1420</v>
      </c>
    </row>
    <row r="2785">
      <c r="B2785" s="3" t="s">
        <v>2876</v>
      </c>
    </row>
    <row r="2786">
      <c r="B2786" s="3" t="s">
        <v>2877</v>
      </c>
    </row>
    <row r="2787">
      <c r="B2787" s="3" t="s">
        <v>2878</v>
      </c>
    </row>
    <row r="2788">
      <c r="B2788" s="3" t="s">
        <v>2879</v>
      </c>
    </row>
    <row r="2791">
      <c r="B2791" s="3" t="s">
        <v>2880</v>
      </c>
    </row>
    <row r="2793">
      <c r="B2793" s="3" t="s">
        <v>1420</v>
      </c>
    </row>
    <row r="2794">
      <c r="B2794" s="3" t="s">
        <v>2881</v>
      </c>
    </row>
    <row r="2795">
      <c r="B2795" s="3" t="s">
        <v>2882</v>
      </c>
    </row>
    <row r="2796">
      <c r="B2796" s="3" t="s">
        <v>2883</v>
      </c>
    </row>
    <row r="2797">
      <c r="B2797" s="3" t="s">
        <v>1399</v>
      </c>
    </row>
    <row r="2798">
      <c r="B2798" s="3" t="s">
        <v>2884</v>
      </c>
    </row>
    <row r="2799">
      <c r="B2799" s="3" t="s">
        <v>2885</v>
      </c>
    </row>
    <row r="2802">
      <c r="B2802" s="3" t="s">
        <v>2886</v>
      </c>
    </row>
    <row r="2804">
      <c r="B2804" s="3" t="s">
        <v>1420</v>
      </c>
    </row>
    <row r="2805">
      <c r="B2805" s="3" t="s">
        <v>2887</v>
      </c>
    </row>
    <row r="2806">
      <c r="B2806" s="3" t="s">
        <v>2888</v>
      </c>
    </row>
    <row r="2807">
      <c r="B2807" s="3" t="s">
        <v>2889</v>
      </c>
    </row>
    <row r="2810">
      <c r="B2810" s="3" t="s">
        <v>2890</v>
      </c>
    </row>
    <row r="2812">
      <c r="B2812" s="3" t="s">
        <v>1420</v>
      </c>
    </row>
    <row r="2813">
      <c r="B2813" s="3" t="s">
        <v>2891</v>
      </c>
    </row>
    <row r="2814">
      <c r="B2814" s="3" t="s">
        <v>2892</v>
      </c>
    </row>
    <row r="2817">
      <c r="B2817" s="3" t="s">
        <v>2893</v>
      </c>
    </row>
    <row r="2819">
      <c r="B2819" s="3" t="s">
        <v>1420</v>
      </c>
    </row>
    <row r="2820">
      <c r="B2820" s="3" t="s">
        <v>2894</v>
      </c>
    </row>
    <row r="2821">
      <c r="B2821" s="3" t="s">
        <v>2895</v>
      </c>
    </row>
    <row r="2822">
      <c r="B2822" s="3" t="s">
        <v>2896</v>
      </c>
    </row>
    <row r="2825">
      <c r="B2825" s="3" t="s">
        <v>2897</v>
      </c>
    </row>
    <row r="2827">
      <c r="B2827" s="3" t="s">
        <v>1420</v>
      </c>
    </row>
    <row r="2828">
      <c r="B2828" s="3" t="s">
        <v>2898</v>
      </c>
    </row>
    <row r="2831">
      <c r="B2831" s="3" t="s">
        <v>2899</v>
      </c>
    </row>
    <row r="2833">
      <c r="B2833" s="3" t="s">
        <v>1420</v>
      </c>
    </row>
    <row r="2834">
      <c r="B2834" s="3" t="s">
        <v>2900</v>
      </c>
    </row>
    <row r="2835">
      <c r="B2835" s="3" t="s">
        <v>2901</v>
      </c>
    </row>
    <row r="2836">
      <c r="B2836" s="3" t="s">
        <v>2902</v>
      </c>
    </row>
    <row r="2837">
      <c r="B2837" s="3" t="s">
        <v>2903</v>
      </c>
    </row>
    <row r="2838">
      <c r="B2838" s="3" t="s">
        <v>1399</v>
      </c>
    </row>
    <row r="2839">
      <c r="B2839" s="3" t="s">
        <v>2904</v>
      </c>
    </row>
    <row r="2840">
      <c r="B2840" s="3" t="s">
        <v>2905</v>
      </c>
    </row>
    <row r="2841">
      <c r="B2841" s="3" t="s">
        <v>2906</v>
      </c>
    </row>
    <row r="2842">
      <c r="B2842" s="3" t="s">
        <v>2907</v>
      </c>
    </row>
    <row r="2843">
      <c r="B2843" s="3" t="s">
        <v>2908</v>
      </c>
    </row>
    <row r="2844">
      <c r="B2844" s="3" t="s">
        <v>2909</v>
      </c>
    </row>
    <row r="2847">
      <c r="B2847" s="3" t="s">
        <v>2910</v>
      </c>
    </row>
    <row r="2849">
      <c r="B2849" s="3" t="s">
        <v>1420</v>
      </c>
    </row>
    <row r="2850">
      <c r="B2850" s="3" t="s">
        <v>2911</v>
      </c>
    </row>
    <row r="2851">
      <c r="B2851" s="3" t="s">
        <v>2912</v>
      </c>
    </row>
    <row r="2852">
      <c r="B2852" s="3" t="s">
        <v>2913</v>
      </c>
    </row>
    <row r="2855">
      <c r="B2855" s="3" t="s">
        <v>2914</v>
      </c>
    </row>
    <row r="2857">
      <c r="B2857" s="3" t="s">
        <v>1420</v>
      </c>
    </row>
    <row r="2858">
      <c r="B2858" s="3" t="s">
        <v>2915</v>
      </c>
    </row>
    <row r="2859">
      <c r="B2859" s="3" t="s">
        <v>2916</v>
      </c>
    </row>
    <row r="2860">
      <c r="B2860" s="3" t="s">
        <v>2917</v>
      </c>
    </row>
    <row r="2863">
      <c r="B2863" s="3" t="s">
        <v>2918</v>
      </c>
    </row>
    <row r="2865">
      <c r="B2865" s="3" t="s">
        <v>1420</v>
      </c>
    </row>
    <row r="2866">
      <c r="B2866" s="3" t="s">
        <v>2919</v>
      </c>
    </row>
    <row r="2867">
      <c r="B2867" s="3" t="s">
        <v>2920</v>
      </c>
    </row>
    <row r="2870">
      <c r="B2870" s="3" t="s">
        <v>2921</v>
      </c>
    </row>
    <row r="2872">
      <c r="B2872" s="3" t="s">
        <v>1420</v>
      </c>
    </row>
    <row r="2873">
      <c r="B2873" s="3" t="s">
        <v>2922</v>
      </c>
    </row>
    <row r="2876">
      <c r="B2876" s="3" t="s">
        <v>2923</v>
      </c>
    </row>
    <row r="2878">
      <c r="B2878" s="3" t="s">
        <v>1420</v>
      </c>
    </row>
    <row r="2879">
      <c r="B2879" s="3" t="s">
        <v>2924</v>
      </c>
    </row>
    <row r="2880">
      <c r="B2880" s="3" t="s">
        <v>2925</v>
      </c>
    </row>
    <row r="2883">
      <c r="B2883" s="3" t="s">
        <v>2926</v>
      </c>
    </row>
    <row r="2885">
      <c r="B2885" s="3" t="s">
        <v>1420</v>
      </c>
    </row>
    <row r="2886">
      <c r="B2886" s="3" t="s">
        <v>2786</v>
      </c>
    </row>
    <row r="2887">
      <c r="B2887" s="3" t="s">
        <v>2927</v>
      </c>
    </row>
    <row r="2890">
      <c r="B2890" s="3" t="s">
        <v>2928</v>
      </c>
    </row>
    <row r="2892">
      <c r="B2892" s="3" t="s">
        <v>1420</v>
      </c>
    </row>
    <row r="2893">
      <c r="B2893" s="3" t="s">
        <v>2929</v>
      </c>
    </row>
    <row r="2894">
      <c r="B2894" s="3" t="s">
        <v>2930</v>
      </c>
    </row>
    <row r="2897">
      <c r="B2897" s="3" t="s">
        <v>2931</v>
      </c>
    </row>
    <row r="2899">
      <c r="B2899" s="3" t="s">
        <v>1420</v>
      </c>
    </row>
    <row r="2900">
      <c r="B2900" s="3" t="s">
        <v>2932</v>
      </c>
    </row>
    <row r="2901">
      <c r="B2901" s="3" t="s">
        <v>2933</v>
      </c>
    </row>
    <row r="2904">
      <c r="B2904" s="3" t="s">
        <v>2931</v>
      </c>
    </row>
    <row r="2906">
      <c r="B2906" s="3" t="s">
        <v>1420</v>
      </c>
    </row>
    <row r="2907">
      <c r="B2907" s="3" t="s">
        <v>2934</v>
      </c>
    </row>
    <row r="2908">
      <c r="B2908" s="3" t="s">
        <v>2935</v>
      </c>
    </row>
    <row r="2909">
      <c r="B2909" s="3" t="s">
        <v>2936</v>
      </c>
    </row>
    <row r="2910">
      <c r="B2910" s="3" t="s">
        <v>2937</v>
      </c>
    </row>
    <row r="2913">
      <c r="B2913" s="3" t="s">
        <v>2938</v>
      </c>
    </row>
    <row r="2915">
      <c r="B2915" s="3" t="s">
        <v>1420</v>
      </c>
    </row>
    <row r="2916">
      <c r="B2916" s="3" t="s">
        <v>2939</v>
      </c>
    </row>
    <row r="2917">
      <c r="B2917" s="3" t="s">
        <v>2940</v>
      </c>
    </row>
    <row r="2918">
      <c r="B2918" s="3" t="s">
        <v>2941</v>
      </c>
    </row>
    <row r="2919">
      <c r="B2919" s="3" t="s">
        <v>2942</v>
      </c>
    </row>
    <row r="2920">
      <c r="B2920" s="3" t="s">
        <v>2943</v>
      </c>
    </row>
    <row r="2921">
      <c r="B2921" s="3" t="s">
        <v>2944</v>
      </c>
    </row>
    <row r="2924">
      <c r="B2924" s="3" t="s">
        <v>2945</v>
      </c>
    </row>
    <row r="2926">
      <c r="B2926" s="3" t="s">
        <v>1420</v>
      </c>
    </row>
    <row r="2927">
      <c r="B2927" s="3" t="s">
        <v>2946</v>
      </c>
    </row>
    <row r="2928">
      <c r="B2928" s="3" t="s">
        <v>2947</v>
      </c>
    </row>
    <row r="2929">
      <c r="B2929" s="3" t="s">
        <v>2948</v>
      </c>
    </row>
    <row r="2930">
      <c r="B2930" s="3" t="s">
        <v>2949</v>
      </c>
    </row>
    <row r="2931">
      <c r="B2931" s="3" t="s">
        <v>2950</v>
      </c>
    </row>
    <row r="2932">
      <c r="B2932" s="3" t="s">
        <v>2951</v>
      </c>
    </row>
    <row r="2933">
      <c r="B2933" s="3" t="s">
        <v>2952</v>
      </c>
    </row>
    <row r="2934">
      <c r="B2934" s="3" t="s">
        <v>2953</v>
      </c>
    </row>
    <row r="2935">
      <c r="B2935" s="3" t="s">
        <v>2954</v>
      </c>
    </row>
    <row r="2936">
      <c r="B2936" s="3" t="s">
        <v>2955</v>
      </c>
    </row>
    <row r="2937">
      <c r="B2937" s="3" t="s">
        <v>2956</v>
      </c>
    </row>
    <row r="2938">
      <c r="B2938" s="3" t="s">
        <v>2957</v>
      </c>
    </row>
    <row r="2939">
      <c r="B2939" s="3" t="s">
        <v>2958</v>
      </c>
    </row>
    <row r="2940">
      <c r="B2940" s="3" t="s">
        <v>2959</v>
      </c>
    </row>
    <row r="2943">
      <c r="B2943" s="3" t="s">
        <v>2960</v>
      </c>
    </row>
    <row r="2945">
      <c r="B2945" s="3" t="s">
        <v>1420</v>
      </c>
    </row>
    <row r="2946">
      <c r="B2946" s="3" t="s">
        <v>2961</v>
      </c>
    </row>
    <row r="2947">
      <c r="B2947" s="3" t="s">
        <v>2962</v>
      </c>
    </row>
    <row r="2950">
      <c r="B2950" s="3" t="s">
        <v>2963</v>
      </c>
    </row>
    <row r="2952">
      <c r="B2952" s="3" t="s">
        <v>1420</v>
      </c>
    </row>
    <row r="2953">
      <c r="B2953" s="3" t="s">
        <v>2964</v>
      </c>
    </row>
    <row r="2954">
      <c r="B2954" s="3" t="s">
        <v>2965</v>
      </c>
    </row>
    <row r="2955">
      <c r="B2955" s="3" t="s">
        <v>1399</v>
      </c>
    </row>
    <row r="2956">
      <c r="B2956" s="3" t="s">
        <v>2884</v>
      </c>
    </row>
    <row r="2957">
      <c r="B2957" s="3" t="s">
        <v>2966</v>
      </c>
    </row>
    <row r="2958">
      <c r="B2958" s="3" t="s">
        <v>2967</v>
      </c>
    </row>
    <row r="2959">
      <c r="B2959" s="3" t="s">
        <v>2968</v>
      </c>
    </row>
    <row r="2960">
      <c r="B2960" s="3" t="s">
        <v>2969</v>
      </c>
    </row>
    <row r="2961">
      <c r="B2961" s="3" t="s">
        <v>2970</v>
      </c>
    </row>
    <row r="2964">
      <c r="B2964" s="3" t="s">
        <v>2971</v>
      </c>
    </row>
    <row r="2966">
      <c r="B2966" s="3" t="s">
        <v>1420</v>
      </c>
    </row>
    <row r="2967">
      <c r="B2967" s="3" t="s">
        <v>2972</v>
      </c>
    </row>
    <row r="2968">
      <c r="B2968" s="3" t="s">
        <v>2924</v>
      </c>
    </row>
    <row r="2969">
      <c r="B2969" s="3" t="s">
        <v>2973</v>
      </c>
    </row>
    <row r="2972">
      <c r="B2972" s="3" t="s">
        <v>2974</v>
      </c>
    </row>
    <row r="2974">
      <c r="B2974" s="3" t="s">
        <v>1420</v>
      </c>
    </row>
    <row r="2975">
      <c r="B2975" s="3" t="s">
        <v>2975</v>
      </c>
    </row>
    <row r="2976">
      <c r="B2976" s="3" t="s">
        <v>2976</v>
      </c>
    </row>
    <row r="2977">
      <c r="B2977" s="3" t="s">
        <v>2977</v>
      </c>
    </row>
    <row r="2978">
      <c r="B2978" s="3" t="s">
        <v>2978</v>
      </c>
    </row>
    <row r="2981">
      <c r="B2981" s="3" t="s">
        <v>2979</v>
      </c>
    </row>
    <row r="2983">
      <c r="B2983" s="3" t="s">
        <v>1420</v>
      </c>
    </row>
    <row r="2984">
      <c r="B2984" s="3" t="s">
        <v>2980</v>
      </c>
    </row>
    <row r="2985">
      <c r="B2985" s="3" t="s">
        <v>2981</v>
      </c>
    </row>
    <row r="2988">
      <c r="B2988" s="3" t="s">
        <v>2982</v>
      </c>
    </row>
    <row r="2990">
      <c r="B2990" s="3" t="s">
        <v>1420</v>
      </c>
    </row>
    <row r="2991">
      <c r="B2991" s="3" t="s">
        <v>2983</v>
      </c>
    </row>
    <row r="2994">
      <c r="B2994" s="3" t="s">
        <v>2984</v>
      </c>
    </row>
    <row r="2996">
      <c r="B2996" s="3" t="s">
        <v>1420</v>
      </c>
    </row>
    <row r="2999">
      <c r="B2999" s="3" t="s">
        <v>2985</v>
      </c>
    </row>
    <row r="3001">
      <c r="B3001" s="3" t="s">
        <v>1420</v>
      </c>
    </row>
    <row r="3002">
      <c r="B3002" s="3" t="s">
        <v>2986</v>
      </c>
    </row>
    <row r="3003">
      <c r="B3003" s="3" t="s">
        <v>2987</v>
      </c>
    </row>
    <row r="3004">
      <c r="B3004" s="3" t="s">
        <v>2988</v>
      </c>
    </row>
    <row r="3005">
      <c r="B3005" s="3" t="s">
        <v>2889</v>
      </c>
    </row>
    <row r="3008">
      <c r="B3008" s="3" t="s">
        <v>2989</v>
      </c>
    </row>
    <row r="3010">
      <c r="B3010" s="3" t="s">
        <v>1420</v>
      </c>
    </row>
    <row r="3011">
      <c r="B3011" s="3" t="s">
        <v>2990</v>
      </c>
    </row>
    <row r="3014">
      <c r="B3014" s="3" t="s">
        <v>2991</v>
      </c>
    </row>
    <row r="3016">
      <c r="B3016" s="3" t="s">
        <v>1420</v>
      </c>
    </row>
    <row r="3019">
      <c r="B3019" s="3" t="s">
        <v>2992</v>
      </c>
    </row>
    <row r="3021">
      <c r="B3021" s="3" t="s">
        <v>1420</v>
      </c>
    </row>
    <row r="3022">
      <c r="B3022" s="3" t="s">
        <v>2993</v>
      </c>
    </row>
    <row r="3023">
      <c r="B3023" s="3" t="s">
        <v>2994</v>
      </c>
    </row>
    <row r="3024">
      <c r="B3024" s="3" t="s">
        <v>2995</v>
      </c>
    </row>
    <row r="3027">
      <c r="B3027" s="3" t="s">
        <v>2996</v>
      </c>
    </row>
    <row r="3029">
      <c r="B3029" s="3" t="s">
        <v>1420</v>
      </c>
    </row>
    <row r="3030">
      <c r="B3030" s="3" t="s">
        <v>2997</v>
      </c>
    </row>
    <row r="3033">
      <c r="B3033" s="3" t="s">
        <v>2998</v>
      </c>
    </row>
    <row r="3035">
      <c r="B3035" s="3" t="s">
        <v>1420</v>
      </c>
    </row>
    <row r="3038">
      <c r="B3038" s="3" t="s">
        <v>2999</v>
      </c>
    </row>
    <row r="3040">
      <c r="B3040" s="3" t="s">
        <v>1420</v>
      </c>
    </row>
    <row r="3041">
      <c r="B3041" s="3" t="s">
        <v>3000</v>
      </c>
    </row>
    <row r="3042">
      <c r="B3042" s="3" t="s">
        <v>3001</v>
      </c>
    </row>
    <row r="3045">
      <c r="B3045" s="3" t="s">
        <v>3002</v>
      </c>
    </row>
    <row r="3047">
      <c r="B3047" s="3" t="s">
        <v>1420</v>
      </c>
    </row>
    <row r="3048">
      <c r="B3048" s="3" t="s">
        <v>3003</v>
      </c>
    </row>
    <row r="3051">
      <c r="B3051" s="3" t="s">
        <v>3004</v>
      </c>
    </row>
    <row r="3053">
      <c r="B3053" s="3" t="s">
        <v>1420</v>
      </c>
    </row>
    <row r="3054">
      <c r="B3054" s="3" t="s">
        <v>3005</v>
      </c>
    </row>
    <row r="3055">
      <c r="B3055" s="3" t="s">
        <v>3006</v>
      </c>
    </row>
    <row r="3056">
      <c r="B3056" s="3" t="s">
        <v>3007</v>
      </c>
    </row>
    <row r="3059">
      <c r="B3059" s="3" t="s">
        <v>3008</v>
      </c>
    </row>
    <row r="3061">
      <c r="B3061" s="3" t="s">
        <v>1420</v>
      </c>
    </row>
    <row r="3064">
      <c r="B3064" s="3" t="s">
        <v>3009</v>
      </c>
    </row>
    <row r="3066">
      <c r="B3066" s="3" t="s">
        <v>1420</v>
      </c>
    </row>
    <row r="3067">
      <c r="B3067" s="3" t="s">
        <v>3010</v>
      </c>
    </row>
    <row r="3068">
      <c r="B3068" s="3" t="s">
        <v>3011</v>
      </c>
    </row>
    <row r="3069">
      <c r="B3069" s="3" t="s">
        <v>3012</v>
      </c>
    </row>
    <row r="3070">
      <c r="B3070" s="3" t="s">
        <v>3013</v>
      </c>
    </row>
    <row r="3071">
      <c r="B3071" s="3" t="s">
        <v>3014</v>
      </c>
    </row>
    <row r="3072">
      <c r="B3072" s="3" t="s">
        <v>3015</v>
      </c>
    </row>
    <row r="3073">
      <c r="B3073" s="3" t="s">
        <v>3016</v>
      </c>
    </row>
    <row r="3074">
      <c r="B3074" s="3" t="s">
        <v>2900</v>
      </c>
    </row>
    <row r="3075">
      <c r="B3075" s="3" t="s">
        <v>2852</v>
      </c>
    </row>
    <row r="3076">
      <c r="B3076" s="3" t="s">
        <v>3017</v>
      </c>
    </row>
    <row r="3077">
      <c r="B3077" s="3" t="s">
        <v>3018</v>
      </c>
    </row>
    <row r="3078">
      <c r="B3078" s="3" t="s">
        <v>1399</v>
      </c>
    </row>
    <row r="3079">
      <c r="B3079" s="3" t="s">
        <v>3019</v>
      </c>
    </row>
    <row r="3080">
      <c r="B3080" s="3" t="s">
        <v>3020</v>
      </c>
    </row>
    <row r="3081">
      <c r="B3081" s="3" t="s">
        <v>2663</v>
      </c>
    </row>
    <row r="3082">
      <c r="B3082" s="3" t="s">
        <v>3021</v>
      </c>
    </row>
    <row r="3083">
      <c r="B3083" s="3" t="s">
        <v>1399</v>
      </c>
    </row>
    <row r="3084">
      <c r="B3084" s="3" t="s">
        <v>3022</v>
      </c>
    </row>
    <row r="3085">
      <c r="B3085" s="3" t="s">
        <v>3023</v>
      </c>
    </row>
    <row r="3086">
      <c r="B3086" s="3" t="s">
        <v>2663</v>
      </c>
    </row>
    <row r="3087">
      <c r="B3087" s="3" t="s">
        <v>3024</v>
      </c>
    </row>
    <row r="3090">
      <c r="B3090" s="3" t="s">
        <v>3025</v>
      </c>
    </row>
    <row r="3092">
      <c r="B3092" s="3" t="s">
        <v>1420</v>
      </c>
    </row>
    <row r="3093">
      <c r="B3093" s="3" t="s">
        <v>3026</v>
      </c>
    </row>
    <row r="3094">
      <c r="B3094" s="3" t="s">
        <v>3027</v>
      </c>
    </row>
    <row r="3097">
      <c r="B3097" s="3" t="s">
        <v>3028</v>
      </c>
    </row>
    <row r="3099">
      <c r="B3099" s="3" t="s">
        <v>1420</v>
      </c>
    </row>
    <row r="3100">
      <c r="B3100" s="3" t="s">
        <v>3029</v>
      </c>
    </row>
    <row r="3101">
      <c r="B3101" s="3" t="s">
        <v>3030</v>
      </c>
    </row>
    <row r="3102">
      <c r="B3102" s="3" t="s">
        <v>3031</v>
      </c>
    </row>
    <row r="3103">
      <c r="B3103" s="3" t="s">
        <v>3032</v>
      </c>
    </row>
    <row r="3104">
      <c r="B3104" s="3" t="s">
        <v>3033</v>
      </c>
    </row>
    <row r="3105">
      <c r="B3105" s="3" t="s">
        <v>3034</v>
      </c>
    </row>
    <row r="3106">
      <c r="B3106" s="3" t="s">
        <v>3035</v>
      </c>
    </row>
    <row r="3107">
      <c r="B3107" s="3" t="s">
        <v>3036</v>
      </c>
    </row>
    <row r="3108">
      <c r="B3108" s="3" t="s">
        <v>1399</v>
      </c>
    </row>
    <row r="3109">
      <c r="B3109" s="3" t="s">
        <v>3037</v>
      </c>
    </row>
    <row r="3110">
      <c r="B3110" s="3" t="s">
        <v>3038</v>
      </c>
    </row>
    <row r="3111">
      <c r="B3111" s="3" t="s">
        <v>3039</v>
      </c>
    </row>
    <row r="3112">
      <c r="B3112" s="3" t="s">
        <v>3040</v>
      </c>
    </row>
    <row r="3113">
      <c r="B3113" s="3" t="s">
        <v>3041</v>
      </c>
    </row>
    <row r="3114">
      <c r="B3114" s="3" t="s">
        <v>3042</v>
      </c>
    </row>
    <row r="3115">
      <c r="B3115" s="3" t="s">
        <v>3043</v>
      </c>
    </row>
    <row r="3116">
      <c r="B3116" s="3" t="s">
        <v>3044</v>
      </c>
    </row>
    <row r="3117">
      <c r="B3117" s="3" t="s">
        <v>3045</v>
      </c>
    </row>
    <row r="3118">
      <c r="B3118" s="3" t="s">
        <v>3046</v>
      </c>
    </row>
    <row r="3119">
      <c r="B3119" s="3" t="s">
        <v>3047</v>
      </c>
    </row>
    <row r="3120">
      <c r="B3120" s="3" t="s">
        <v>3048</v>
      </c>
    </row>
    <row r="3121">
      <c r="B3121" s="3" t="s">
        <v>3049</v>
      </c>
    </row>
    <row r="3122">
      <c r="B3122" s="3" t="s">
        <v>3050</v>
      </c>
    </row>
    <row r="3123">
      <c r="B3123" s="3" t="s">
        <v>3051</v>
      </c>
    </row>
    <row r="3124">
      <c r="B3124" s="3" t="s">
        <v>3052</v>
      </c>
    </row>
    <row r="3127">
      <c r="B3127" s="3" t="s">
        <v>3053</v>
      </c>
    </row>
    <row r="3129">
      <c r="B3129" s="3" t="s">
        <v>1420</v>
      </c>
    </row>
    <row r="3130">
      <c r="B3130" s="3" t="s">
        <v>3054</v>
      </c>
    </row>
    <row r="3131">
      <c r="B3131" s="3" t="s">
        <v>3055</v>
      </c>
    </row>
    <row r="3132">
      <c r="B3132" s="3" t="s">
        <v>3056</v>
      </c>
    </row>
    <row r="3133">
      <c r="B3133" s="3" t="s">
        <v>3057</v>
      </c>
    </row>
    <row r="3134">
      <c r="B3134" s="3" t="s">
        <v>2978</v>
      </c>
    </row>
    <row r="3137">
      <c r="B3137" s="3" t="s">
        <v>3058</v>
      </c>
    </row>
    <row r="3139">
      <c r="B3139" s="3" t="s">
        <v>1420</v>
      </c>
    </row>
    <row r="3140">
      <c r="B3140" s="3" t="s">
        <v>3059</v>
      </c>
    </row>
    <row r="3141">
      <c r="B3141" s="3" t="s">
        <v>3060</v>
      </c>
    </row>
    <row r="3142">
      <c r="B3142" s="3" t="s">
        <v>3061</v>
      </c>
    </row>
    <row r="3143">
      <c r="B3143" s="3" t="s">
        <v>2889</v>
      </c>
    </row>
    <row r="3144">
      <c r="B3144" s="3" t="s">
        <v>2995</v>
      </c>
    </row>
    <row r="3147">
      <c r="B3147" s="3" t="s">
        <v>3062</v>
      </c>
    </row>
    <row r="3149">
      <c r="B3149" s="3" t="s">
        <v>1420</v>
      </c>
    </row>
    <row r="3150">
      <c r="B3150" s="3" t="s">
        <v>3063</v>
      </c>
    </row>
    <row r="3151">
      <c r="B3151" s="3" t="s">
        <v>3064</v>
      </c>
    </row>
    <row r="3152">
      <c r="B3152" s="3" t="s">
        <v>2882</v>
      </c>
    </row>
    <row r="3153">
      <c r="B3153" s="3" t="s">
        <v>2877</v>
      </c>
    </row>
    <row r="3156">
      <c r="B3156" s="3" t="s">
        <v>3065</v>
      </c>
    </row>
    <row r="3158">
      <c r="B3158" s="3" t="s">
        <v>1420</v>
      </c>
    </row>
    <row r="3159">
      <c r="B3159" s="3" t="s">
        <v>3066</v>
      </c>
    </row>
    <row r="3160">
      <c r="B3160" s="3" t="s">
        <v>3067</v>
      </c>
    </row>
    <row r="3163">
      <c r="B3163" s="3" t="s">
        <v>3068</v>
      </c>
    </row>
    <row r="3165">
      <c r="B3165" s="3" t="s">
        <v>1420</v>
      </c>
    </row>
    <row r="3168">
      <c r="B3168" s="3" t="s">
        <v>3069</v>
      </c>
    </row>
    <row r="3170">
      <c r="B3170" s="3" t="s">
        <v>1420</v>
      </c>
    </row>
    <row r="3171">
      <c r="B3171" s="3" t="s">
        <v>3070</v>
      </c>
    </row>
    <row r="3174">
      <c r="B3174" s="3" t="s">
        <v>3071</v>
      </c>
    </row>
    <row r="3176">
      <c r="B3176" s="3" t="s">
        <v>1420</v>
      </c>
    </row>
    <row r="3177">
      <c r="B3177" s="3" t="s">
        <v>3072</v>
      </c>
    </row>
    <row r="3178">
      <c r="B3178" s="3" t="s">
        <v>2934</v>
      </c>
    </row>
    <row r="3179">
      <c r="B3179" s="3" t="s">
        <v>2937</v>
      </c>
    </row>
    <row r="3180">
      <c r="B3180" s="3" t="s">
        <v>2936</v>
      </c>
    </row>
    <row r="3183">
      <c r="B3183" s="3" t="s">
        <v>3073</v>
      </c>
    </row>
    <row r="3185">
      <c r="B3185" s="3" t="s">
        <v>1420</v>
      </c>
    </row>
    <row r="3188">
      <c r="B3188" s="3" t="s">
        <v>3074</v>
      </c>
    </row>
    <row r="3190">
      <c r="B3190" s="3" t="s">
        <v>1420</v>
      </c>
    </row>
    <row r="3191">
      <c r="B3191" s="3" t="s">
        <v>3075</v>
      </c>
    </row>
    <row r="3192">
      <c r="B3192" s="3" t="s">
        <v>3076</v>
      </c>
    </row>
    <row r="3193">
      <c r="B3193" s="3" t="s">
        <v>3077</v>
      </c>
    </row>
    <row r="3194">
      <c r="B3194" s="3" t="s">
        <v>3078</v>
      </c>
    </row>
    <row r="3195">
      <c r="B3195" s="3" t="s">
        <v>3079</v>
      </c>
    </row>
    <row r="3198">
      <c r="B3198" s="3" t="s">
        <v>3080</v>
      </c>
    </row>
    <row r="3200">
      <c r="B3200" s="3" t="s">
        <v>1420</v>
      </c>
    </row>
    <row r="3201">
      <c r="B3201" s="3" t="s">
        <v>3081</v>
      </c>
    </row>
    <row r="3204">
      <c r="B3204" s="3" t="s">
        <v>3082</v>
      </c>
    </row>
    <row r="3206">
      <c r="B3206" s="3" t="s">
        <v>1420</v>
      </c>
    </row>
    <row r="3209">
      <c r="B3209" s="3" t="s">
        <v>3083</v>
      </c>
    </row>
    <row r="3211">
      <c r="B3211" s="3" t="s">
        <v>1420</v>
      </c>
    </row>
    <row r="3212">
      <c r="B3212" s="3" t="s">
        <v>3084</v>
      </c>
    </row>
    <row r="3213">
      <c r="B3213" s="3" t="s">
        <v>3085</v>
      </c>
    </row>
    <row r="3214">
      <c r="B3214" s="3" t="s">
        <v>3086</v>
      </c>
    </row>
    <row r="3215">
      <c r="B3215" s="3" t="s">
        <v>3087</v>
      </c>
    </row>
    <row r="3218">
      <c r="B3218" s="3" t="s">
        <v>3088</v>
      </c>
    </row>
    <row r="3220">
      <c r="B3220" s="3" t="s">
        <v>1420</v>
      </c>
    </row>
    <row r="3221">
      <c r="B3221" s="3" t="s">
        <v>3089</v>
      </c>
    </row>
    <row r="3222">
      <c r="B3222" s="3" t="s">
        <v>3090</v>
      </c>
    </row>
    <row r="3223">
      <c r="B3223" s="3" t="s">
        <v>2909</v>
      </c>
    </row>
    <row r="3224">
      <c r="B3224" s="3" t="s">
        <v>3091</v>
      </c>
    </row>
    <row r="3225">
      <c r="B3225" s="3" t="s">
        <v>2913</v>
      </c>
    </row>
    <row r="3228">
      <c r="B3228" s="3" t="s">
        <v>3092</v>
      </c>
    </row>
    <row r="3230">
      <c r="B3230" s="3" t="s">
        <v>1420</v>
      </c>
    </row>
    <row r="3231">
      <c r="B3231" s="3" t="s">
        <v>3086</v>
      </c>
    </row>
    <row r="3232">
      <c r="B3232" s="3" t="s">
        <v>3093</v>
      </c>
    </row>
    <row r="3233">
      <c r="B3233" s="3" t="s">
        <v>3094</v>
      </c>
    </row>
    <row r="3236">
      <c r="B3236" s="3" t="s">
        <v>3095</v>
      </c>
    </row>
    <row r="3238">
      <c r="B3238" s="3" t="s">
        <v>1420</v>
      </c>
    </row>
    <row r="3239">
      <c r="B3239" s="3" t="s">
        <v>3096</v>
      </c>
    </row>
    <row r="3240">
      <c r="B3240" s="3" t="s">
        <v>3097</v>
      </c>
    </row>
    <row r="3243">
      <c r="B3243" s="3" t="s">
        <v>3098</v>
      </c>
    </row>
    <row r="3245">
      <c r="B3245" s="3" t="s">
        <v>1420</v>
      </c>
    </row>
    <row r="3246">
      <c r="B3246" s="3" t="s">
        <v>3099</v>
      </c>
    </row>
    <row r="3249">
      <c r="B3249" s="3" t="s">
        <v>3100</v>
      </c>
    </row>
    <row r="3251">
      <c r="B3251" s="3" t="s">
        <v>1420</v>
      </c>
    </row>
    <row r="3252">
      <c r="B3252" s="3" t="s">
        <v>3101</v>
      </c>
    </row>
    <row r="3253">
      <c r="B3253" s="3" t="s">
        <v>3102</v>
      </c>
    </row>
    <row r="3254">
      <c r="B3254" s="3" t="s">
        <v>3103</v>
      </c>
    </row>
    <row r="3257">
      <c r="B3257" s="3" t="s">
        <v>3104</v>
      </c>
    </row>
    <row r="3259">
      <c r="B3259" s="3" t="s">
        <v>1420</v>
      </c>
    </row>
    <row r="3260">
      <c r="B3260" s="3" t="s">
        <v>3105</v>
      </c>
    </row>
    <row r="3261">
      <c r="B3261" s="3" t="s">
        <v>3106</v>
      </c>
    </row>
    <row r="3262">
      <c r="B3262" s="3" t="s">
        <v>3107</v>
      </c>
    </row>
    <row r="3265">
      <c r="B3265" s="3" t="s">
        <v>3108</v>
      </c>
    </row>
    <row r="3267">
      <c r="B3267" s="3" t="s">
        <v>1420</v>
      </c>
    </row>
    <row r="3268">
      <c r="B3268" s="3" t="s">
        <v>3109</v>
      </c>
    </row>
    <row r="3271">
      <c r="B3271" s="3" t="s">
        <v>3110</v>
      </c>
    </row>
    <row r="3273">
      <c r="B3273" s="3" t="s">
        <v>1420</v>
      </c>
    </row>
    <row r="3274">
      <c r="B3274" s="3" t="s">
        <v>3111</v>
      </c>
    </row>
    <row r="3275">
      <c r="B3275" s="3" t="s">
        <v>3112</v>
      </c>
    </row>
    <row r="3276">
      <c r="B3276" s="3" t="s">
        <v>3113</v>
      </c>
    </row>
    <row r="3277">
      <c r="B3277" s="3" t="s">
        <v>3114</v>
      </c>
    </row>
    <row r="3278">
      <c r="B3278" s="3" t="s">
        <v>3115</v>
      </c>
    </row>
    <row r="3279">
      <c r="B3279" s="3" t="s">
        <v>3116</v>
      </c>
    </row>
    <row r="3280">
      <c r="B3280" s="3" t="s">
        <v>3117</v>
      </c>
    </row>
    <row r="3281">
      <c r="B3281" s="3" t="s">
        <v>3118</v>
      </c>
    </row>
    <row r="3284">
      <c r="B3284" s="3" t="s">
        <v>3119</v>
      </c>
    </row>
    <row r="3286">
      <c r="B3286" s="3" t="s">
        <v>1420</v>
      </c>
    </row>
    <row r="3287">
      <c r="B3287" s="3" t="s">
        <v>3120</v>
      </c>
    </row>
    <row r="3288">
      <c r="B3288" s="3" t="s">
        <v>3121</v>
      </c>
    </row>
    <row r="3289">
      <c r="B3289" s="3" t="s">
        <v>3122</v>
      </c>
    </row>
    <row r="3290">
      <c r="B3290" s="3" t="s">
        <v>3123</v>
      </c>
    </row>
    <row r="3291">
      <c r="B3291" s="3" t="s">
        <v>2901</v>
      </c>
    </row>
    <row r="3292">
      <c r="B3292" s="3" t="s">
        <v>3124</v>
      </c>
    </row>
    <row r="3293">
      <c r="B3293" s="3" t="s">
        <v>3125</v>
      </c>
    </row>
    <row r="3294">
      <c r="B3294" s="3" t="s">
        <v>3126</v>
      </c>
    </row>
    <row r="3297">
      <c r="B3297" s="3" t="s">
        <v>3127</v>
      </c>
    </row>
    <row r="3299">
      <c r="B3299" s="3" t="s">
        <v>1420</v>
      </c>
    </row>
    <row r="3300">
      <c r="B3300" s="3" t="s">
        <v>3128</v>
      </c>
    </row>
    <row r="3301">
      <c r="B3301" s="3" t="s">
        <v>3129</v>
      </c>
    </row>
    <row r="3302">
      <c r="B3302" s="3" t="s">
        <v>3130</v>
      </c>
    </row>
    <row r="3303">
      <c r="B3303" s="3" t="s">
        <v>3131</v>
      </c>
    </row>
    <row r="3306">
      <c r="B3306" s="3" t="s">
        <v>3132</v>
      </c>
    </row>
    <row r="3308">
      <c r="B3308" s="3" t="s">
        <v>1420</v>
      </c>
    </row>
    <row r="3309">
      <c r="B3309" s="3" t="s">
        <v>3133</v>
      </c>
    </row>
    <row r="3312">
      <c r="B3312" s="3" t="s">
        <v>3134</v>
      </c>
    </row>
    <row r="3314">
      <c r="B3314" s="3" t="s">
        <v>1420</v>
      </c>
    </row>
    <row r="3315">
      <c r="B3315" s="3" t="s">
        <v>3135</v>
      </c>
    </row>
    <row r="3318">
      <c r="B3318" s="3" t="s">
        <v>3136</v>
      </c>
    </row>
    <row r="3320">
      <c r="B3320" s="3" t="s">
        <v>1420</v>
      </c>
    </row>
    <row r="3321">
      <c r="B3321" s="3" t="s">
        <v>3137</v>
      </c>
    </row>
    <row r="3322">
      <c r="B3322" s="3" t="s">
        <v>1399</v>
      </c>
    </row>
    <row r="3323">
      <c r="B3323" s="3" t="s">
        <v>3138</v>
      </c>
    </row>
    <row r="3324">
      <c r="B3324" s="3" t="s">
        <v>3139</v>
      </c>
    </row>
    <row r="3325">
      <c r="B3325" s="3" t="s">
        <v>3140</v>
      </c>
    </row>
    <row r="3326">
      <c r="B3326" s="3" t="s">
        <v>3141</v>
      </c>
    </row>
    <row r="3327">
      <c r="B3327" s="3" t="s">
        <v>2784</v>
      </c>
    </row>
    <row r="3330">
      <c r="B3330" s="3" t="s">
        <v>3142</v>
      </c>
    </row>
    <row r="3332">
      <c r="B3332" s="3" t="s">
        <v>1420</v>
      </c>
    </row>
    <row r="3333">
      <c r="B3333" s="3" t="s">
        <v>3143</v>
      </c>
    </row>
    <row r="3334">
      <c r="B3334" s="3" t="s">
        <v>1399</v>
      </c>
    </row>
    <row r="3335">
      <c r="B3335" s="3" t="s">
        <v>3144</v>
      </c>
    </row>
    <row r="3336">
      <c r="B3336" s="3" t="s">
        <v>3145</v>
      </c>
    </row>
    <row r="3337">
      <c r="B3337" s="3" t="s">
        <v>1399</v>
      </c>
    </row>
    <row r="3338">
      <c r="B3338" s="3" t="s">
        <v>3146</v>
      </c>
    </row>
    <row r="3339">
      <c r="B3339" s="3" t="s">
        <v>3147</v>
      </c>
    </row>
    <row r="3340">
      <c r="B3340" s="3" t="s">
        <v>1399</v>
      </c>
    </row>
    <row r="3341">
      <c r="B3341" s="3" t="s">
        <v>3148</v>
      </c>
    </row>
    <row r="3342">
      <c r="B3342" s="3" t="s">
        <v>3149</v>
      </c>
    </row>
    <row r="3345">
      <c r="B3345" s="3" t="s">
        <v>3150</v>
      </c>
    </row>
    <row r="3347">
      <c r="B3347" s="3" t="s">
        <v>1420</v>
      </c>
    </row>
    <row r="3350">
      <c r="B3350" s="3" t="s">
        <v>3151</v>
      </c>
    </row>
    <row r="3352">
      <c r="B3352" s="3" t="s">
        <v>1420</v>
      </c>
    </row>
    <row r="3353">
      <c r="B3353" s="3" t="s">
        <v>3152</v>
      </c>
    </row>
    <row r="3354">
      <c r="B3354" s="3" t="s">
        <v>1399</v>
      </c>
    </row>
    <row r="3355">
      <c r="B3355" s="3" t="s">
        <v>3153</v>
      </c>
    </row>
    <row r="3356">
      <c r="B3356" s="3" t="s">
        <v>3154</v>
      </c>
    </row>
    <row r="3357">
      <c r="B3357" s="3" t="s">
        <v>3155</v>
      </c>
    </row>
    <row r="3360">
      <c r="B3360" s="3" t="s">
        <v>3156</v>
      </c>
    </row>
    <row r="3362">
      <c r="B3362" s="3" t="s">
        <v>1420</v>
      </c>
    </row>
    <row r="3363">
      <c r="B3363" s="3" t="s">
        <v>3152</v>
      </c>
    </row>
    <row r="3364">
      <c r="B3364" s="3" t="s">
        <v>1399</v>
      </c>
    </row>
    <row r="3365">
      <c r="B3365" s="3" t="s">
        <v>3157</v>
      </c>
    </row>
    <row r="3368">
      <c r="B3368" s="3" t="s">
        <v>3158</v>
      </c>
    </row>
    <row r="3370">
      <c r="B3370" s="3" t="s">
        <v>1420</v>
      </c>
    </row>
    <row r="3371">
      <c r="B3371" s="3" t="s">
        <v>3159</v>
      </c>
    </row>
    <row r="3372">
      <c r="B3372" s="3" t="s">
        <v>3160</v>
      </c>
    </row>
    <row r="3375">
      <c r="B3375" s="3" t="s">
        <v>3161</v>
      </c>
    </row>
    <row r="3377">
      <c r="B3377" s="3" t="s">
        <v>1420</v>
      </c>
    </row>
    <row r="3380">
      <c r="B3380" s="3" t="s">
        <v>3162</v>
      </c>
    </row>
    <row r="3382">
      <c r="B3382" s="3" t="s">
        <v>1420</v>
      </c>
    </row>
    <row r="3385">
      <c r="B3385" s="3" t="s">
        <v>3163</v>
      </c>
    </row>
    <row r="3387">
      <c r="B3387" s="3" t="s">
        <v>1420</v>
      </c>
    </row>
    <row r="3388">
      <c r="B3388" s="3" t="s">
        <v>3070</v>
      </c>
    </row>
    <row r="3389">
      <c r="B3389" s="3" t="s">
        <v>3164</v>
      </c>
    </row>
    <row r="3390">
      <c r="B3390" s="3" t="s">
        <v>1399</v>
      </c>
    </row>
    <row r="3391">
      <c r="B3391" s="3" t="s">
        <v>3165</v>
      </c>
    </row>
    <row r="3392">
      <c r="B3392" s="3" t="s">
        <v>3166</v>
      </c>
    </row>
    <row r="3393">
      <c r="B3393" s="3" t="s">
        <v>3167</v>
      </c>
    </row>
    <row r="3394">
      <c r="B3394" s="3" t="s">
        <v>3168</v>
      </c>
    </row>
    <row r="3395">
      <c r="B3395" s="3" t="s">
        <v>1399</v>
      </c>
    </row>
    <row r="3396">
      <c r="B3396" s="3" t="s">
        <v>3169</v>
      </c>
    </row>
    <row r="3399">
      <c r="B3399" s="3" t="s">
        <v>3170</v>
      </c>
    </row>
    <row r="3401">
      <c r="B3401" s="3" t="s">
        <v>1420</v>
      </c>
    </row>
    <row r="3402">
      <c r="B3402" s="3" t="s">
        <v>3171</v>
      </c>
    </row>
    <row r="3403">
      <c r="B3403" s="3" t="s">
        <v>2993</v>
      </c>
    </row>
    <row r="3404">
      <c r="B3404" s="3" t="s">
        <v>3172</v>
      </c>
    </row>
    <row r="3405">
      <c r="B3405" s="3" t="s">
        <v>1399</v>
      </c>
    </row>
    <row r="3406">
      <c r="B3406" s="3" t="s">
        <v>3173</v>
      </c>
    </row>
    <row r="3407">
      <c r="B3407" s="3" t="s">
        <v>3174</v>
      </c>
    </row>
    <row r="3408">
      <c r="B3408" s="3" t="s">
        <v>1399</v>
      </c>
    </row>
    <row r="3409">
      <c r="B3409" s="3" t="s">
        <v>3175</v>
      </c>
    </row>
    <row r="3410">
      <c r="B3410" s="3" t="s">
        <v>3176</v>
      </c>
    </row>
    <row r="3411">
      <c r="B3411" s="3" t="s">
        <v>3177</v>
      </c>
    </row>
    <row r="3412">
      <c r="B3412" s="3" t="s">
        <v>1399</v>
      </c>
    </row>
    <row r="3413">
      <c r="B3413" s="3" t="s">
        <v>3178</v>
      </c>
    </row>
    <row r="3416">
      <c r="B3416" s="3" t="s">
        <v>3179</v>
      </c>
    </row>
    <row r="3418">
      <c r="B3418" s="3" t="s">
        <v>1420</v>
      </c>
    </row>
    <row r="3419">
      <c r="B3419" s="3" t="s">
        <v>3180</v>
      </c>
    </row>
    <row r="3420">
      <c r="B3420" s="3" t="s">
        <v>3181</v>
      </c>
    </row>
    <row r="3421">
      <c r="B3421" s="3" t="s">
        <v>1399</v>
      </c>
    </row>
    <row r="3422">
      <c r="B3422" s="3" t="s">
        <v>3182</v>
      </c>
    </row>
    <row r="3423">
      <c r="B3423" s="3" t="s">
        <v>3183</v>
      </c>
    </row>
    <row r="3424">
      <c r="B3424" s="3" t="s">
        <v>2098</v>
      </c>
    </row>
    <row r="3427">
      <c r="B3427" s="3" t="s">
        <v>3184</v>
      </c>
    </row>
    <row r="3429">
      <c r="B3429" s="3" t="s">
        <v>1420</v>
      </c>
    </row>
    <row r="3430">
      <c r="B3430" s="3" t="s">
        <v>3185</v>
      </c>
    </row>
    <row r="3431">
      <c r="B3431" s="3" t="s">
        <v>3186</v>
      </c>
    </row>
    <row r="3432">
      <c r="B3432" s="3" t="s">
        <v>3187</v>
      </c>
    </row>
    <row r="3433">
      <c r="B3433" s="3" t="s">
        <v>3188</v>
      </c>
    </row>
    <row r="3434">
      <c r="B3434" s="3" t="s">
        <v>3189</v>
      </c>
    </row>
    <row r="3435">
      <c r="B3435" s="3" t="s">
        <v>3188</v>
      </c>
    </row>
    <row r="3436">
      <c r="B3436" s="3" t="s">
        <v>3190</v>
      </c>
    </row>
    <row r="3437">
      <c r="B3437" s="3" t="s">
        <v>3191</v>
      </c>
    </row>
    <row r="3438">
      <c r="B3438" s="3" t="s">
        <v>3192</v>
      </c>
    </row>
    <row r="3439">
      <c r="B3439" s="3" t="s">
        <v>3193</v>
      </c>
    </row>
    <row r="3440">
      <c r="B3440" s="3" t="s">
        <v>3194</v>
      </c>
    </row>
    <row r="3441">
      <c r="B3441" s="3" t="s">
        <v>3195</v>
      </c>
    </row>
    <row r="3442">
      <c r="B3442" s="3" t="s">
        <v>3196</v>
      </c>
    </row>
    <row r="3443">
      <c r="B3443" s="3" t="s">
        <v>1399</v>
      </c>
    </row>
    <row r="3444">
      <c r="B3444" s="3" t="s">
        <v>3197</v>
      </c>
    </row>
    <row r="3445">
      <c r="B3445" s="3" t="s">
        <v>3198</v>
      </c>
    </row>
    <row r="3446">
      <c r="B3446" s="3" t="s">
        <v>3199</v>
      </c>
    </row>
    <row r="3447">
      <c r="B3447" s="3" t="s">
        <v>3200</v>
      </c>
    </row>
    <row r="3448">
      <c r="B3448" s="3" t="s">
        <v>3188</v>
      </c>
    </row>
    <row r="3449">
      <c r="B3449" s="3" t="s">
        <v>1399</v>
      </c>
    </row>
    <row r="3450">
      <c r="B3450" s="3" t="s">
        <v>3201</v>
      </c>
    </row>
    <row r="3451">
      <c r="B3451" s="3" t="s">
        <v>3202</v>
      </c>
    </row>
    <row r="3452">
      <c r="B3452" s="3" t="s">
        <v>3203</v>
      </c>
    </row>
    <row r="3453">
      <c r="B3453" s="3" t="s">
        <v>3204</v>
      </c>
    </row>
    <row r="3454">
      <c r="B3454" s="3" t="s">
        <v>1399</v>
      </c>
    </row>
    <row r="3455">
      <c r="B3455" s="3" t="s">
        <v>3205</v>
      </c>
    </row>
    <row r="3456">
      <c r="B3456" s="3" t="s">
        <v>3206</v>
      </c>
    </row>
    <row r="3459">
      <c r="B3459" s="3" t="s">
        <v>3207</v>
      </c>
    </row>
    <row r="3461">
      <c r="B3461" s="3" t="s">
        <v>1420</v>
      </c>
    </row>
    <row r="3462">
      <c r="B3462" s="3" t="s">
        <v>3208</v>
      </c>
    </row>
    <row r="3463">
      <c r="B3463" s="3" t="s">
        <v>3209</v>
      </c>
    </row>
    <row r="3464">
      <c r="B3464" s="3" t="s">
        <v>1399</v>
      </c>
    </row>
    <row r="3465">
      <c r="B3465" s="3" t="s">
        <v>3210</v>
      </c>
    </row>
    <row r="3466">
      <c r="B3466" s="3" t="s">
        <v>3211</v>
      </c>
    </row>
    <row r="3467">
      <c r="B3467" s="3" t="s">
        <v>1399</v>
      </c>
    </row>
    <row r="3468">
      <c r="B3468" s="3" t="s">
        <v>3212</v>
      </c>
    </row>
    <row r="3471">
      <c r="B3471" s="3" t="s">
        <v>3213</v>
      </c>
    </row>
    <row r="3473">
      <c r="B3473" s="3" t="s">
        <v>1420</v>
      </c>
    </row>
    <row r="3476">
      <c r="B3476" s="3" t="s">
        <v>3214</v>
      </c>
    </row>
    <row r="3478">
      <c r="B3478" s="3" t="s">
        <v>1420</v>
      </c>
    </row>
    <row r="3479">
      <c r="B3479" s="3" t="s">
        <v>3215</v>
      </c>
    </row>
    <row r="3480">
      <c r="B3480" s="3" t="s">
        <v>3216</v>
      </c>
    </row>
    <row r="3481">
      <c r="B3481" s="3" t="s">
        <v>3217</v>
      </c>
    </row>
    <row r="3482">
      <c r="B3482" s="3" t="s">
        <v>3218</v>
      </c>
    </row>
    <row r="3483">
      <c r="B3483" s="3" t="s">
        <v>3219</v>
      </c>
    </row>
    <row r="3484">
      <c r="B3484" s="3" t="s">
        <v>3220</v>
      </c>
    </row>
    <row r="3485">
      <c r="B3485" s="3" t="s">
        <v>3221</v>
      </c>
    </row>
    <row r="3486">
      <c r="B3486" s="3" t="s">
        <v>1399</v>
      </c>
    </row>
    <row r="3487">
      <c r="B3487" s="3" t="s">
        <v>3222</v>
      </c>
    </row>
    <row r="3488">
      <c r="B3488" s="3" t="s">
        <v>3223</v>
      </c>
    </row>
    <row r="3491">
      <c r="B3491" s="3" t="s">
        <v>3224</v>
      </c>
    </row>
    <row r="3493">
      <c r="B3493" s="3" t="s">
        <v>1420</v>
      </c>
    </row>
    <row r="3494">
      <c r="B3494" s="3" t="s">
        <v>3211</v>
      </c>
    </row>
    <row r="3495">
      <c r="B3495" s="3" t="s">
        <v>1399</v>
      </c>
    </row>
    <row r="3496">
      <c r="B3496" s="3" t="s">
        <v>3212</v>
      </c>
    </row>
    <row r="3497">
      <c r="B3497" s="3" t="s">
        <v>3225</v>
      </c>
    </row>
    <row r="3500">
      <c r="B3500" s="3" t="s">
        <v>3226</v>
      </c>
    </row>
    <row r="3502">
      <c r="B3502" s="3" t="s">
        <v>1420</v>
      </c>
    </row>
    <row r="3503">
      <c r="B3503" s="3" t="s">
        <v>3227</v>
      </c>
    </row>
    <row r="3504">
      <c r="B3504" s="3" t="s">
        <v>3228</v>
      </c>
    </row>
    <row r="3505">
      <c r="B3505" s="3" t="s">
        <v>2902</v>
      </c>
    </row>
    <row r="3506">
      <c r="B3506" s="3" t="s">
        <v>3229</v>
      </c>
    </row>
    <row r="3507">
      <c r="B3507" s="3" t="s">
        <v>3230</v>
      </c>
    </row>
    <row r="3508">
      <c r="B3508" s="3" t="s">
        <v>1399</v>
      </c>
    </row>
    <row r="3509">
      <c r="B3509" s="3" t="s">
        <v>3231</v>
      </c>
    </row>
    <row r="3510">
      <c r="B3510" s="3" t="s">
        <v>3232</v>
      </c>
    </row>
    <row r="3513">
      <c r="B3513" s="3" t="s">
        <v>3233</v>
      </c>
    </row>
    <row r="3515">
      <c r="B3515" s="3" t="s">
        <v>1420</v>
      </c>
    </row>
    <row r="3516">
      <c r="B3516" s="3" t="s">
        <v>3234</v>
      </c>
    </row>
    <row r="3517">
      <c r="B3517" s="3" t="s">
        <v>1399</v>
      </c>
    </row>
    <row r="3518">
      <c r="B3518" s="3" t="s">
        <v>3235</v>
      </c>
    </row>
    <row r="3519">
      <c r="B3519" s="3" t="s">
        <v>3236</v>
      </c>
    </row>
    <row r="3520">
      <c r="B3520" s="3" t="s">
        <v>3237</v>
      </c>
    </row>
    <row r="3521">
      <c r="B3521" s="3" t="s">
        <v>3238</v>
      </c>
    </row>
    <row r="3524">
      <c r="B3524" s="3" t="s">
        <v>3239</v>
      </c>
    </row>
    <row r="3526">
      <c r="B3526" s="3" t="s">
        <v>1420</v>
      </c>
    </row>
    <row r="3527">
      <c r="B3527" s="3" t="s">
        <v>3168</v>
      </c>
    </row>
    <row r="3528">
      <c r="B3528" s="3" t="s">
        <v>1399</v>
      </c>
    </row>
    <row r="3529">
      <c r="B3529" s="3" t="s">
        <v>3240</v>
      </c>
    </row>
    <row r="3530">
      <c r="B3530" s="3" t="s">
        <v>3241</v>
      </c>
    </row>
    <row r="3531">
      <c r="B3531" s="3" t="s">
        <v>3242</v>
      </c>
    </row>
    <row r="3534">
      <c r="B3534" s="3" t="s">
        <v>3243</v>
      </c>
    </row>
    <row r="3536">
      <c r="B3536" s="3" t="s">
        <v>1420</v>
      </c>
    </row>
    <row r="3537">
      <c r="B3537" s="3" t="s">
        <v>3244</v>
      </c>
    </row>
    <row r="3538">
      <c r="B3538" s="3" t="s">
        <v>1399</v>
      </c>
    </row>
    <row r="3539">
      <c r="B3539" s="3" t="s">
        <v>3245</v>
      </c>
    </row>
    <row r="3540">
      <c r="B3540" s="3" t="s">
        <v>3246</v>
      </c>
    </row>
    <row r="3541">
      <c r="B3541" s="3" t="s">
        <v>1399</v>
      </c>
    </row>
    <row r="3542">
      <c r="B3542" s="3" t="s">
        <v>3247</v>
      </c>
    </row>
    <row r="3543">
      <c r="B3543" s="3" t="s">
        <v>3248</v>
      </c>
    </row>
    <row r="3544">
      <c r="B3544" s="3" t="s">
        <v>1399</v>
      </c>
    </row>
    <row r="3545">
      <c r="B3545" s="3" t="s">
        <v>2257</v>
      </c>
    </row>
    <row r="3548">
      <c r="B3548" s="3" t="s">
        <v>3249</v>
      </c>
    </row>
    <row r="3550">
      <c r="B3550" s="3" t="s">
        <v>1420</v>
      </c>
    </row>
    <row r="3551">
      <c r="B3551" s="3" t="s">
        <v>3250</v>
      </c>
    </row>
    <row r="3552">
      <c r="B3552" s="3" t="s">
        <v>1399</v>
      </c>
    </row>
    <row r="3553">
      <c r="B3553" s="3" t="s">
        <v>2267</v>
      </c>
    </row>
    <row r="3554">
      <c r="B3554" s="3" t="s">
        <v>3251</v>
      </c>
    </row>
    <row r="3555">
      <c r="B3555" s="3" t="s">
        <v>3252</v>
      </c>
    </row>
    <row r="3556">
      <c r="B3556" s="3" t="s">
        <v>3253</v>
      </c>
    </row>
    <row r="3557">
      <c r="B3557" s="3" t="s">
        <v>3254</v>
      </c>
    </row>
    <row r="3558">
      <c r="B3558" s="3" t="s">
        <v>3255</v>
      </c>
    </row>
    <row r="3559">
      <c r="B3559" s="3" t="s">
        <v>3256</v>
      </c>
    </row>
    <row r="3560">
      <c r="B3560" s="3" t="s">
        <v>1399</v>
      </c>
    </row>
    <row r="3561">
      <c r="B3561" s="3" t="s">
        <v>3257</v>
      </c>
    </row>
    <row r="3562">
      <c r="B3562" s="3" t="s">
        <v>3258</v>
      </c>
    </row>
    <row r="3563">
      <c r="B3563" s="3" t="s">
        <v>3259</v>
      </c>
    </row>
    <row r="3564">
      <c r="B3564" s="3" t="s">
        <v>3260</v>
      </c>
    </row>
    <row r="3565">
      <c r="B3565" s="3" t="s">
        <v>1399</v>
      </c>
    </row>
    <row r="3566">
      <c r="B3566" s="3" t="s">
        <v>3261</v>
      </c>
    </row>
    <row r="3567">
      <c r="B3567" s="3" t="s">
        <v>3262</v>
      </c>
    </row>
    <row r="3568">
      <c r="B3568" s="3" t="s">
        <v>1399</v>
      </c>
    </row>
    <row r="3569">
      <c r="B3569" s="3" t="s">
        <v>3263</v>
      </c>
    </row>
    <row r="3570">
      <c r="B3570" s="3" t="s">
        <v>3264</v>
      </c>
    </row>
    <row r="3571">
      <c r="B3571" s="3" t="s">
        <v>3265</v>
      </c>
    </row>
    <row r="3572">
      <c r="B3572" s="3" t="s">
        <v>1399</v>
      </c>
    </row>
    <row r="3573">
      <c r="B3573" s="3" t="s">
        <v>3266</v>
      </c>
    </row>
    <row r="3574">
      <c r="B3574" s="3" t="s">
        <v>3267</v>
      </c>
    </row>
    <row r="3575">
      <c r="B3575" s="3" t="s">
        <v>3268</v>
      </c>
    </row>
    <row r="3576">
      <c r="B3576" s="3" t="s">
        <v>3269</v>
      </c>
    </row>
    <row r="3577">
      <c r="B3577" s="3" t="s">
        <v>1399</v>
      </c>
    </row>
    <row r="3578">
      <c r="B3578" s="3" t="s">
        <v>3270</v>
      </c>
    </row>
    <row r="3579">
      <c r="B3579" s="3" t="s">
        <v>3271</v>
      </c>
    </row>
    <row r="3580">
      <c r="B3580" s="3" t="s">
        <v>3272</v>
      </c>
    </row>
    <row r="3583">
      <c r="B3583" s="3" t="s">
        <v>3273</v>
      </c>
    </row>
    <row r="3585">
      <c r="B3585" s="3" t="s">
        <v>1420</v>
      </c>
    </row>
    <row r="3586">
      <c r="B3586" s="3" t="s">
        <v>3274</v>
      </c>
    </row>
    <row r="3587">
      <c r="B3587" s="3" t="s">
        <v>3258</v>
      </c>
    </row>
    <row r="3588">
      <c r="B3588" s="3" t="s">
        <v>1399</v>
      </c>
    </row>
    <row r="3589">
      <c r="B3589" s="3" t="s">
        <v>3275</v>
      </c>
    </row>
    <row r="3590">
      <c r="B3590" s="3" t="s">
        <v>3276</v>
      </c>
    </row>
    <row r="3591">
      <c r="B3591" s="3" t="s">
        <v>1399</v>
      </c>
    </row>
    <row r="3592">
      <c r="B3592" s="3" t="s">
        <v>3277</v>
      </c>
    </row>
    <row r="3593">
      <c r="B3593" s="3" t="s">
        <v>3264</v>
      </c>
    </row>
    <row r="3594">
      <c r="B3594" s="3" t="s">
        <v>1399</v>
      </c>
    </row>
    <row r="3595">
      <c r="B3595" s="3" t="s">
        <v>3278</v>
      </c>
    </row>
    <row r="3596">
      <c r="B3596" s="3" t="s">
        <v>3279</v>
      </c>
    </row>
    <row r="3597">
      <c r="B3597" s="3" t="s">
        <v>1399</v>
      </c>
    </row>
    <row r="3598">
      <c r="B3598" s="3" t="s">
        <v>3280</v>
      </c>
    </row>
    <row r="3599">
      <c r="B3599" s="3" t="s">
        <v>3281</v>
      </c>
    </row>
    <row r="3600">
      <c r="B3600" s="3" t="s">
        <v>3258</v>
      </c>
    </row>
    <row r="3601">
      <c r="B3601" s="3" t="s">
        <v>1399</v>
      </c>
    </row>
    <row r="3602">
      <c r="B3602" s="3" t="s">
        <v>3282</v>
      </c>
    </row>
    <row r="3603">
      <c r="B3603" s="3" t="s">
        <v>3283</v>
      </c>
    </row>
    <row r="3604">
      <c r="B3604" s="3" t="s">
        <v>3284</v>
      </c>
    </row>
    <row r="3605">
      <c r="B3605" s="3" t="s">
        <v>1399</v>
      </c>
    </row>
    <row r="3606">
      <c r="B3606" s="3" t="s">
        <v>3285</v>
      </c>
    </row>
    <row r="3607">
      <c r="B3607" s="3" t="s">
        <v>3286</v>
      </c>
    </row>
    <row r="3608">
      <c r="B3608" s="3" t="s">
        <v>3258</v>
      </c>
    </row>
    <row r="3609">
      <c r="B3609" s="3" t="s">
        <v>1399</v>
      </c>
    </row>
    <row r="3610">
      <c r="B3610" s="3" t="s">
        <v>3287</v>
      </c>
    </row>
    <row r="3611">
      <c r="B3611" s="3" t="s">
        <v>3288</v>
      </c>
    </row>
    <row r="3612">
      <c r="B3612" s="3" t="s">
        <v>3264</v>
      </c>
    </row>
    <row r="3613">
      <c r="B3613" s="3" t="s">
        <v>1399</v>
      </c>
    </row>
    <row r="3614">
      <c r="B3614" s="3" t="s">
        <v>3289</v>
      </c>
    </row>
    <row r="3615">
      <c r="B3615" s="3" t="s">
        <v>3279</v>
      </c>
    </row>
    <row r="3618">
      <c r="B3618" s="3" t="s">
        <v>3290</v>
      </c>
    </row>
    <row r="3620">
      <c r="B3620" s="3" t="s">
        <v>1420</v>
      </c>
    </row>
    <row r="3621">
      <c r="B3621" s="3" t="s">
        <v>3291</v>
      </c>
    </row>
    <row r="3622">
      <c r="B3622" s="3" t="s">
        <v>3292</v>
      </c>
    </row>
    <row r="3623">
      <c r="B3623" s="3" t="s">
        <v>3293</v>
      </c>
    </row>
    <row r="3624">
      <c r="B3624" s="3" t="s">
        <v>1399</v>
      </c>
    </row>
    <row r="3625">
      <c r="B3625" s="3" t="s">
        <v>3294</v>
      </c>
    </row>
    <row r="3626">
      <c r="B3626" s="3" t="s">
        <v>3295</v>
      </c>
    </row>
    <row r="3627">
      <c r="B3627" s="3" t="s">
        <v>3296</v>
      </c>
    </row>
    <row r="3628">
      <c r="B3628" s="3" t="s">
        <v>1399</v>
      </c>
    </row>
    <row r="3629">
      <c r="B3629" s="3" t="s">
        <v>3297</v>
      </c>
    </row>
    <row r="3630">
      <c r="B3630" s="3" t="s">
        <v>3298</v>
      </c>
    </row>
    <row r="3631">
      <c r="B3631" s="3" t="s">
        <v>3299</v>
      </c>
    </row>
    <row r="3632">
      <c r="B3632" s="3" t="s">
        <v>3300</v>
      </c>
    </row>
    <row r="3633">
      <c r="B3633" s="3" t="s">
        <v>1399</v>
      </c>
    </row>
    <row r="3634">
      <c r="B3634" s="3" t="s">
        <v>3301</v>
      </c>
    </row>
    <row r="3635">
      <c r="B3635" s="3" t="s">
        <v>3302</v>
      </c>
    </row>
    <row r="3636">
      <c r="B3636" s="3" t="s">
        <v>1399</v>
      </c>
    </row>
    <row r="3637">
      <c r="B3637" s="3" t="s">
        <v>3303</v>
      </c>
    </row>
    <row r="3638">
      <c r="B3638" s="3" t="s">
        <v>3304</v>
      </c>
    </row>
    <row r="3639">
      <c r="B3639" s="3" t="s">
        <v>3305</v>
      </c>
    </row>
    <row r="3640">
      <c r="B3640" s="3" t="s">
        <v>3306</v>
      </c>
    </row>
    <row r="3641">
      <c r="B3641" s="3" t="s">
        <v>1399</v>
      </c>
    </row>
    <row r="3642">
      <c r="B3642" s="3" t="s">
        <v>3307</v>
      </c>
    </row>
    <row r="3643">
      <c r="B3643" s="3" t="s">
        <v>3308</v>
      </c>
    </row>
    <row r="3644">
      <c r="B3644" s="3" t="s">
        <v>1399</v>
      </c>
    </row>
    <row r="3645">
      <c r="B3645" s="3" t="s">
        <v>3309</v>
      </c>
    </row>
    <row r="3646">
      <c r="B3646" s="3" t="s">
        <v>3310</v>
      </c>
    </row>
    <row r="3647">
      <c r="B3647" s="3" t="s">
        <v>3311</v>
      </c>
    </row>
    <row r="3648">
      <c r="B3648" s="3" t="s">
        <v>1399</v>
      </c>
    </row>
    <row r="3649">
      <c r="B3649" s="3" t="s">
        <v>3312</v>
      </c>
    </row>
    <row r="3650">
      <c r="B3650" s="3" t="s">
        <v>3248</v>
      </c>
    </row>
    <row r="3651">
      <c r="B3651" s="3" t="s">
        <v>1399</v>
      </c>
    </row>
    <row r="3652">
      <c r="B3652" s="3" t="s">
        <v>3313</v>
      </c>
    </row>
    <row r="3653">
      <c r="B3653" s="3" t="s">
        <v>3314</v>
      </c>
    </row>
    <row r="3654">
      <c r="B3654" s="3" t="s">
        <v>3315</v>
      </c>
    </row>
    <row r="3655">
      <c r="B3655" s="3" t="s">
        <v>1399</v>
      </c>
    </row>
    <row r="3656">
      <c r="B3656" s="3" t="s">
        <v>3316</v>
      </c>
    </row>
    <row r="3657">
      <c r="B3657" s="3" t="s">
        <v>3317</v>
      </c>
    </row>
    <row r="3658">
      <c r="B3658" s="3" t="s">
        <v>1399</v>
      </c>
    </row>
    <row r="3659">
      <c r="B3659" s="3" t="s">
        <v>3313</v>
      </c>
    </row>
    <row r="3660">
      <c r="B3660" s="3" t="s">
        <v>3318</v>
      </c>
    </row>
    <row r="3661">
      <c r="B3661" s="3" t="s">
        <v>3319</v>
      </c>
    </row>
    <row r="3662">
      <c r="B3662" s="3" t="s">
        <v>2867</v>
      </c>
    </row>
    <row r="3663">
      <c r="B3663" s="3" t="s">
        <v>1399</v>
      </c>
    </row>
    <row r="3664">
      <c r="B3664" s="3" t="s">
        <v>3320</v>
      </c>
    </row>
    <row r="3665">
      <c r="B3665" s="3" t="s">
        <v>3321</v>
      </c>
    </row>
    <row r="3666">
      <c r="B3666" s="3" t="s">
        <v>3256</v>
      </c>
    </row>
    <row r="3667">
      <c r="B3667" s="3" t="s">
        <v>3322</v>
      </c>
    </row>
    <row r="3668">
      <c r="B3668" s="3" t="s">
        <v>3323</v>
      </c>
    </row>
    <row r="3669">
      <c r="B3669" s="3" t="s">
        <v>3128</v>
      </c>
    </row>
    <row r="3670">
      <c r="B3670" s="3" t="s">
        <v>3324</v>
      </c>
    </row>
    <row r="3671">
      <c r="B3671" s="3" t="s">
        <v>3325</v>
      </c>
    </row>
    <row r="3672">
      <c r="B3672" s="3" t="s">
        <v>3326</v>
      </c>
    </row>
    <row r="3673">
      <c r="B3673" s="3" t="s">
        <v>3327</v>
      </c>
    </row>
    <row r="3674">
      <c r="B3674" s="3" t="s">
        <v>3328</v>
      </c>
    </row>
    <row r="3675">
      <c r="B3675" s="3" t="s">
        <v>1399</v>
      </c>
    </row>
    <row r="3676">
      <c r="B3676" s="3" t="s">
        <v>3329</v>
      </c>
    </row>
    <row r="3677">
      <c r="B3677" s="3" t="s">
        <v>3330</v>
      </c>
    </row>
    <row r="3678">
      <c r="B3678" s="3" t="s">
        <v>3331</v>
      </c>
    </row>
    <row r="3679">
      <c r="B3679" s="3" t="s">
        <v>1399</v>
      </c>
    </row>
    <row r="3680">
      <c r="B3680" s="3" t="s">
        <v>3332</v>
      </c>
    </row>
    <row r="3681">
      <c r="B3681" s="3" t="s">
        <v>3333</v>
      </c>
    </row>
    <row r="3682">
      <c r="B3682" s="3" t="s">
        <v>3334</v>
      </c>
    </row>
    <row r="3683">
      <c r="B3683" s="3" t="s">
        <v>3335</v>
      </c>
    </row>
    <row r="3684">
      <c r="B3684" s="3" t="s">
        <v>1399</v>
      </c>
    </row>
    <row r="3685">
      <c r="B3685" s="3" t="s">
        <v>3336</v>
      </c>
    </row>
    <row r="3688">
      <c r="B3688" s="3" t="s">
        <v>3337</v>
      </c>
    </row>
    <row r="3690">
      <c r="B3690" s="3" t="s">
        <v>1420</v>
      </c>
    </row>
    <row r="3693">
      <c r="B3693" s="3" t="s">
        <v>3338</v>
      </c>
    </row>
    <row r="3695">
      <c r="B3695" s="3" t="s">
        <v>1420</v>
      </c>
    </row>
    <row r="3698">
      <c r="B3698" s="3" t="s">
        <v>3339</v>
      </c>
    </row>
    <row r="3700">
      <c r="B3700" s="3" t="s">
        <v>1420</v>
      </c>
    </row>
    <row r="3703">
      <c r="B3703" s="3" t="s">
        <v>3340</v>
      </c>
    </row>
    <row r="3705">
      <c r="B3705" s="3" t="s">
        <v>1420</v>
      </c>
    </row>
    <row r="3708">
      <c r="B3708" s="3" t="s">
        <v>3341</v>
      </c>
    </row>
    <row r="3710">
      <c r="B3710" s="3" t="s">
        <v>1420</v>
      </c>
    </row>
    <row r="3711">
      <c r="B3711" s="3" t="s">
        <v>3342</v>
      </c>
    </row>
    <row r="3712">
      <c r="B3712" s="3" t="s">
        <v>3343</v>
      </c>
    </row>
    <row r="3713">
      <c r="B3713" s="3" t="s">
        <v>1399</v>
      </c>
    </row>
    <row r="3714">
      <c r="B3714" s="3" t="s">
        <v>3344</v>
      </c>
    </row>
    <row r="3715">
      <c r="B3715" s="3" t="s">
        <v>3345</v>
      </c>
    </row>
    <row r="3716">
      <c r="B3716" s="3" t="s">
        <v>3346</v>
      </c>
    </row>
    <row r="3717">
      <c r="B3717" s="3" t="s">
        <v>1399</v>
      </c>
    </row>
    <row r="3718">
      <c r="B3718" s="3" t="s">
        <v>3347</v>
      </c>
    </row>
    <row r="3721">
      <c r="B3721" s="3" t="s">
        <v>3348</v>
      </c>
    </row>
    <row r="3723">
      <c r="B3723" s="3" t="s">
        <v>1420</v>
      </c>
    </row>
    <row r="3724">
      <c r="B3724" s="3" t="s">
        <v>2766</v>
      </c>
    </row>
    <row r="3725">
      <c r="B3725" s="3" t="s">
        <v>1399</v>
      </c>
    </row>
    <row r="3726">
      <c r="B3726" s="3" t="s">
        <v>3349</v>
      </c>
    </row>
    <row r="3729">
      <c r="B3729" s="3" t="s">
        <v>3350</v>
      </c>
    </row>
    <row r="3731">
      <c r="B3731" s="3" t="s">
        <v>1420</v>
      </c>
    </row>
    <row r="3734">
      <c r="B3734" s="3" t="s">
        <v>3351</v>
      </c>
    </row>
    <row r="3736">
      <c r="B3736" s="3" t="s">
        <v>1420</v>
      </c>
    </row>
    <row r="3737">
      <c r="B3737" s="3" t="s">
        <v>3352</v>
      </c>
    </row>
    <row r="3738">
      <c r="B3738" s="3" t="s">
        <v>1399</v>
      </c>
    </row>
    <row r="3739">
      <c r="B3739" s="3" t="s">
        <v>3353</v>
      </c>
    </row>
    <row r="3742">
      <c r="B3742" s="3" t="s">
        <v>3354</v>
      </c>
    </row>
    <row r="3744">
      <c r="B3744" s="3" t="s">
        <v>1420</v>
      </c>
    </row>
    <row r="3745">
      <c r="B3745" s="3" t="s">
        <v>3355</v>
      </c>
    </row>
    <row r="3746">
      <c r="B3746" s="3" t="s">
        <v>3356</v>
      </c>
    </row>
    <row r="3747">
      <c r="B3747" s="3" t="s">
        <v>3357</v>
      </c>
    </row>
    <row r="3748">
      <c r="B3748" s="3" t="s">
        <v>3358</v>
      </c>
    </row>
    <row r="3751">
      <c r="B3751" s="3" t="s">
        <v>3359</v>
      </c>
    </row>
    <row r="3753">
      <c r="B3753" s="3" t="s">
        <v>1420</v>
      </c>
    </row>
    <row r="3754">
      <c r="B3754" s="3" t="s">
        <v>3360</v>
      </c>
    </row>
    <row r="3755">
      <c r="B3755" s="3" t="s">
        <v>3361</v>
      </c>
    </row>
    <row r="3756">
      <c r="B3756" s="3" t="s">
        <v>3362</v>
      </c>
    </row>
    <row r="3759">
      <c r="B3759" s="3" t="s">
        <v>3363</v>
      </c>
    </row>
    <row r="3761">
      <c r="B3761" s="3" t="s">
        <v>1420</v>
      </c>
    </row>
    <row r="3764">
      <c r="B3764" s="3" t="s">
        <v>3364</v>
      </c>
    </row>
    <row r="3766">
      <c r="B3766" s="3" t="s">
        <v>1420</v>
      </c>
    </row>
    <row r="3767">
      <c r="B3767" s="3" t="s">
        <v>3365</v>
      </c>
    </row>
    <row r="3768">
      <c r="B3768" s="3" t="s">
        <v>3366</v>
      </c>
    </row>
    <row r="3769">
      <c r="B3769" s="3" t="s">
        <v>3367</v>
      </c>
    </row>
    <row r="3770">
      <c r="B3770" s="3" t="s">
        <v>3368</v>
      </c>
    </row>
    <row r="3773">
      <c r="B3773" s="3" t="s">
        <v>3369</v>
      </c>
    </row>
    <row r="3775">
      <c r="B3775" s="3" t="s">
        <v>1420</v>
      </c>
    </row>
    <row r="3776">
      <c r="B3776" s="3" t="s">
        <v>3370</v>
      </c>
    </row>
    <row r="3777">
      <c r="B3777" s="3" t="s">
        <v>1399</v>
      </c>
    </row>
    <row r="3778">
      <c r="B3778" s="3" t="s">
        <v>3371</v>
      </c>
    </row>
    <row r="3779">
      <c r="B3779" s="3" t="s">
        <v>3372</v>
      </c>
    </row>
    <row r="3780">
      <c r="B3780" s="3" t="s">
        <v>3373</v>
      </c>
    </row>
    <row r="3783">
      <c r="B3783" s="3" t="s">
        <v>3374</v>
      </c>
    </row>
    <row r="3785">
      <c r="B3785" s="3" t="s">
        <v>1420</v>
      </c>
    </row>
    <row r="3786">
      <c r="B3786" s="3" t="s">
        <v>3375</v>
      </c>
    </row>
    <row r="3787">
      <c r="B3787" s="3" t="s">
        <v>1399</v>
      </c>
    </row>
    <row r="3788">
      <c r="B3788" s="3" t="s">
        <v>3376</v>
      </c>
    </row>
    <row r="3791">
      <c r="B3791" s="3" t="s">
        <v>3377</v>
      </c>
    </row>
    <row r="3793">
      <c r="B3793" s="3" t="s">
        <v>1420</v>
      </c>
    </row>
    <row r="3794">
      <c r="B3794" s="3" t="s">
        <v>3378</v>
      </c>
    </row>
    <row r="3797">
      <c r="B3797" s="3" t="s">
        <v>3379</v>
      </c>
    </row>
    <row r="3799">
      <c r="B3799" s="3" t="s">
        <v>1420</v>
      </c>
    </row>
    <row r="3800">
      <c r="B3800" s="3" t="s">
        <v>3380</v>
      </c>
    </row>
    <row r="3803">
      <c r="B3803" s="3" t="s">
        <v>3381</v>
      </c>
    </row>
    <row r="3805">
      <c r="B3805" s="3" t="s">
        <v>1420</v>
      </c>
    </row>
    <row r="3808">
      <c r="B3808" s="3" t="s">
        <v>3382</v>
      </c>
    </row>
    <row r="3810">
      <c r="B3810" s="3" t="s">
        <v>1420</v>
      </c>
    </row>
    <row r="3811">
      <c r="B3811" s="3" t="s">
        <v>3383</v>
      </c>
    </row>
    <row r="3812">
      <c r="B3812" s="3" t="s">
        <v>3384</v>
      </c>
    </row>
    <row r="3813">
      <c r="B3813" s="3" t="s">
        <v>1399</v>
      </c>
    </row>
    <row r="3814">
      <c r="B3814" s="3" t="s">
        <v>3385</v>
      </c>
    </row>
    <row r="3817">
      <c r="B3817" s="3" t="s">
        <v>3386</v>
      </c>
    </row>
    <row r="3819">
      <c r="B3819" s="3" t="s">
        <v>1420</v>
      </c>
    </row>
    <row r="3820">
      <c r="B3820" s="3" t="s">
        <v>3366</v>
      </c>
    </row>
    <row r="3823">
      <c r="B3823" s="3" t="s">
        <v>3387</v>
      </c>
    </row>
    <row r="3825">
      <c r="B3825" s="3" t="s">
        <v>1420</v>
      </c>
    </row>
    <row r="3826">
      <c r="B3826" s="3" t="s">
        <v>3388</v>
      </c>
    </row>
    <row r="3829">
      <c r="B3829" s="3" t="s">
        <v>3389</v>
      </c>
    </row>
    <row r="3831">
      <c r="B3831" s="3" t="s">
        <v>1420</v>
      </c>
    </row>
    <row r="3834">
      <c r="B3834" s="3" t="s">
        <v>3390</v>
      </c>
    </row>
    <row r="3836">
      <c r="B3836" s="3" t="s">
        <v>1420</v>
      </c>
    </row>
    <row r="3837">
      <c r="B3837" s="3" t="s">
        <v>3391</v>
      </c>
    </row>
    <row r="3838">
      <c r="B3838" s="3" t="s">
        <v>1399</v>
      </c>
    </row>
    <row r="3839">
      <c r="B3839" s="3" t="s">
        <v>3392</v>
      </c>
    </row>
    <row r="3840">
      <c r="B3840" s="3" t="s">
        <v>3393</v>
      </c>
    </row>
    <row r="3843">
      <c r="B3843" s="3" t="s">
        <v>3394</v>
      </c>
    </row>
    <row r="3845">
      <c r="B3845" s="3" t="s">
        <v>1420</v>
      </c>
    </row>
    <row r="3848">
      <c r="B3848" s="3" t="s">
        <v>3395</v>
      </c>
    </row>
    <row r="3850">
      <c r="B3850" s="3" t="s">
        <v>1420</v>
      </c>
    </row>
    <row r="3853">
      <c r="B3853" s="3" t="s">
        <v>3396</v>
      </c>
    </row>
    <row r="3855">
      <c r="B3855" s="3" t="s">
        <v>1420</v>
      </c>
    </row>
    <row r="3856">
      <c r="B3856" s="3" t="s">
        <v>3397</v>
      </c>
    </row>
    <row r="3859">
      <c r="B3859" s="3" t="s">
        <v>3396</v>
      </c>
    </row>
    <row r="3861">
      <c r="B3861" s="3" t="s">
        <v>1420</v>
      </c>
    </row>
    <row r="3862">
      <c r="B3862" s="3" t="s">
        <v>3398</v>
      </c>
    </row>
    <row r="3865">
      <c r="B3865" s="3" t="s">
        <v>3396</v>
      </c>
    </row>
    <row r="3867">
      <c r="B3867" s="3" t="s">
        <v>1420</v>
      </c>
    </row>
    <row r="3868">
      <c r="B3868" s="3" t="s">
        <v>3399</v>
      </c>
    </row>
  </sheetData>
  <drawing r:id="rId1"/>
</worksheet>
</file>